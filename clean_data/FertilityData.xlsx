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osm\Documents\MG\Manuscripts\Cd phenotype\Data for Phil\Clean_data\"/>
    </mc:Choice>
  </mc:AlternateContent>
  <xr:revisionPtr revIDLastSave="0" documentId="13_ncr:1_{1406F3E3-77B1-4BB7-AB06-979E62276CB8}" xr6:coauthVersionLast="47" xr6:coauthVersionMax="47" xr10:uidLastSave="{00000000-0000-0000-0000-000000000000}"/>
  <bookViews>
    <workbookView xWindow="38292" yWindow="-108" windowWidth="30936" windowHeight="16776" activeTab="4" xr2:uid="{68E114B8-FFAB-4C43-AEEE-0B3B0F561DAF}"/>
  </bookViews>
  <sheets>
    <sheet name="QA383P" sheetId="1" r:id="rId1"/>
    <sheet name="1759" sheetId="2" r:id="rId2"/>
    <sheet name="1759_QA383P_SummaryData" sheetId="4" r:id="rId3"/>
    <sheet name="2360B5" sheetId="3" r:id="rId4"/>
    <sheet name="2360B5_Summary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9" i="2" l="1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P164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P125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P77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P43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P2" i="2"/>
  <c r="M2" i="2"/>
  <c r="J185" i="1"/>
  <c r="K185" i="1" s="1"/>
  <c r="J184" i="1"/>
  <c r="K184" i="1" s="1"/>
  <c r="G184" i="1"/>
  <c r="J183" i="1"/>
  <c r="K183" i="1" s="1"/>
  <c r="G183" i="1"/>
  <c r="J182" i="1"/>
  <c r="K182" i="1" s="1"/>
  <c r="G182" i="1"/>
  <c r="J181" i="1"/>
  <c r="K181" i="1" s="1"/>
  <c r="G181" i="1"/>
  <c r="J180" i="1"/>
  <c r="K180" i="1" s="1"/>
  <c r="J179" i="1"/>
  <c r="K179" i="1" s="1"/>
  <c r="J178" i="1"/>
  <c r="K178" i="1" s="1"/>
  <c r="G178" i="1"/>
  <c r="K177" i="1"/>
  <c r="J177" i="1"/>
  <c r="J176" i="1"/>
  <c r="K176" i="1" s="1"/>
  <c r="K175" i="1"/>
  <c r="J175" i="1"/>
  <c r="G175" i="1"/>
  <c r="J174" i="1"/>
  <c r="K174" i="1" s="1"/>
  <c r="J173" i="1"/>
  <c r="K173" i="1" s="1"/>
  <c r="J172" i="1"/>
  <c r="K172" i="1" s="1"/>
  <c r="G172" i="1"/>
  <c r="J171" i="1"/>
  <c r="K171" i="1" s="1"/>
  <c r="J170" i="1"/>
  <c r="K170" i="1" s="1"/>
  <c r="G170" i="1"/>
  <c r="J169" i="1"/>
  <c r="K169" i="1" s="1"/>
  <c r="G169" i="1"/>
  <c r="K168" i="1"/>
  <c r="J168" i="1"/>
  <c r="G168" i="1"/>
  <c r="J167" i="1"/>
  <c r="K167" i="1" s="1"/>
  <c r="J166" i="1"/>
  <c r="K166" i="1" s="1"/>
  <c r="G166" i="1"/>
  <c r="J165" i="1"/>
  <c r="K165" i="1" s="1"/>
  <c r="J164" i="1"/>
  <c r="K164" i="1" s="1"/>
  <c r="G164" i="1"/>
  <c r="J163" i="1"/>
  <c r="K163" i="1" s="1"/>
  <c r="G163" i="1"/>
  <c r="J162" i="1"/>
  <c r="K162" i="1" s="1"/>
  <c r="G162" i="1"/>
  <c r="J161" i="1"/>
  <c r="K161" i="1" s="1"/>
  <c r="G161" i="1"/>
  <c r="K160" i="1"/>
  <c r="J160" i="1"/>
  <c r="G160" i="1"/>
  <c r="J159" i="1"/>
  <c r="K159" i="1" s="1"/>
  <c r="J158" i="1"/>
  <c r="K158" i="1" s="1"/>
  <c r="J157" i="1"/>
  <c r="K157" i="1" s="1"/>
  <c r="G157" i="1"/>
  <c r="J156" i="1"/>
  <c r="K156" i="1" s="1"/>
  <c r="J155" i="1"/>
  <c r="K155" i="1" s="1"/>
  <c r="G155" i="1"/>
  <c r="J154" i="1"/>
  <c r="K154" i="1" s="1"/>
  <c r="G154" i="1"/>
  <c r="J153" i="1"/>
  <c r="K153" i="1" s="1"/>
  <c r="G153" i="1"/>
  <c r="J152" i="1"/>
  <c r="K152" i="1" s="1"/>
  <c r="G152" i="1"/>
  <c r="J151" i="1"/>
  <c r="K151" i="1" s="1"/>
  <c r="G151" i="1"/>
  <c r="J150" i="1"/>
  <c r="K150" i="1" s="1"/>
  <c r="J149" i="1"/>
  <c r="K149" i="1" s="1"/>
  <c r="G149" i="1"/>
  <c r="J148" i="1"/>
  <c r="K148" i="1" s="1"/>
  <c r="G148" i="1"/>
  <c r="J147" i="1"/>
  <c r="K147" i="1" s="1"/>
  <c r="G147" i="1"/>
  <c r="J146" i="1"/>
  <c r="K146" i="1" s="1"/>
  <c r="G146" i="1"/>
  <c r="J145" i="1"/>
  <c r="K145" i="1" s="1"/>
  <c r="G145" i="1"/>
  <c r="K144" i="1"/>
  <c r="J144" i="1"/>
  <c r="G144" i="1"/>
  <c r="J143" i="1"/>
  <c r="K143" i="1" s="1"/>
  <c r="G143" i="1"/>
  <c r="J142" i="1"/>
  <c r="K142" i="1" s="1"/>
  <c r="J141" i="1"/>
  <c r="K141" i="1" s="1"/>
  <c r="G141" i="1"/>
  <c r="J140" i="1"/>
  <c r="K140" i="1" s="1"/>
  <c r="J139" i="1"/>
  <c r="K139" i="1" s="1"/>
  <c r="J138" i="1"/>
  <c r="K138" i="1" s="1"/>
  <c r="G138" i="1"/>
  <c r="J137" i="1"/>
  <c r="K137" i="1" s="1"/>
  <c r="J136" i="1"/>
  <c r="K136" i="1" s="1"/>
  <c r="G136" i="1"/>
  <c r="J135" i="1"/>
  <c r="K135" i="1" s="1"/>
  <c r="G135" i="1"/>
  <c r="K134" i="1"/>
  <c r="J134" i="1"/>
  <c r="J133" i="1"/>
  <c r="K133" i="1" s="1"/>
  <c r="J132" i="1"/>
  <c r="K132" i="1" s="1"/>
  <c r="J131" i="1"/>
  <c r="K131" i="1" s="1"/>
  <c r="G131" i="1"/>
  <c r="J130" i="1"/>
  <c r="K130" i="1" s="1"/>
  <c r="J129" i="1"/>
  <c r="K129" i="1" s="1"/>
  <c r="J128" i="1"/>
  <c r="K128" i="1" s="1"/>
  <c r="J127" i="1"/>
  <c r="K127" i="1" s="1"/>
  <c r="G127" i="1"/>
  <c r="K126" i="1"/>
  <c r="J126" i="1"/>
  <c r="J125" i="1"/>
  <c r="K125" i="1" s="1"/>
  <c r="G125" i="1"/>
  <c r="J124" i="1"/>
  <c r="K124" i="1" s="1"/>
  <c r="G124" i="1"/>
  <c r="J123" i="1"/>
  <c r="K123" i="1" s="1"/>
  <c r="G123" i="1"/>
  <c r="J122" i="1"/>
  <c r="K122" i="1" s="1"/>
  <c r="G122" i="1"/>
  <c r="J121" i="1"/>
  <c r="K121" i="1" s="1"/>
  <c r="G121" i="1"/>
  <c r="J120" i="1"/>
  <c r="K120" i="1" s="1"/>
  <c r="G120" i="1"/>
  <c r="J119" i="1"/>
  <c r="K119" i="1" s="1"/>
  <c r="G119" i="1"/>
  <c r="J118" i="1"/>
  <c r="K118" i="1" s="1"/>
  <c r="G118" i="1"/>
  <c r="K117" i="1"/>
  <c r="J117" i="1"/>
  <c r="G117" i="1"/>
  <c r="J116" i="1"/>
  <c r="K116" i="1" s="1"/>
  <c r="G116" i="1"/>
  <c r="J115" i="1"/>
  <c r="K115" i="1" s="1"/>
  <c r="G115" i="1"/>
  <c r="J114" i="1"/>
  <c r="K114" i="1" s="1"/>
  <c r="G114" i="1"/>
  <c r="J113" i="1"/>
  <c r="K113" i="1" s="1"/>
  <c r="G113" i="1"/>
  <c r="J112" i="1"/>
  <c r="K112" i="1" s="1"/>
  <c r="G112" i="1"/>
  <c r="K111" i="1"/>
  <c r="J111" i="1"/>
  <c r="J110" i="1"/>
  <c r="K110" i="1" s="1"/>
  <c r="G110" i="1"/>
  <c r="J109" i="1"/>
  <c r="K109" i="1" s="1"/>
  <c r="G109" i="1"/>
  <c r="J108" i="1"/>
  <c r="K108" i="1" s="1"/>
  <c r="G108" i="1"/>
  <c r="J107" i="1"/>
  <c r="K107" i="1" s="1"/>
  <c r="J106" i="1"/>
  <c r="K106" i="1" s="1"/>
  <c r="J105" i="1"/>
  <c r="K105" i="1" s="1"/>
  <c r="G105" i="1"/>
  <c r="J104" i="1"/>
  <c r="K104" i="1" s="1"/>
  <c r="G104" i="1"/>
  <c r="J103" i="1"/>
  <c r="K103" i="1" s="1"/>
  <c r="G103" i="1"/>
  <c r="J102" i="1"/>
  <c r="K102" i="1" s="1"/>
  <c r="G102" i="1"/>
  <c r="J101" i="1"/>
  <c r="K101" i="1" s="1"/>
  <c r="J100" i="1"/>
  <c r="K100" i="1" s="1"/>
  <c r="G100" i="1"/>
  <c r="J99" i="1"/>
  <c r="K99" i="1" s="1"/>
  <c r="G99" i="1"/>
  <c r="J98" i="1"/>
  <c r="K98" i="1" s="1"/>
  <c r="G98" i="1"/>
  <c r="J97" i="1"/>
  <c r="K97" i="1" s="1"/>
  <c r="G97" i="1"/>
  <c r="J96" i="1"/>
  <c r="K96" i="1" s="1"/>
  <c r="G96" i="1"/>
  <c r="K95" i="1"/>
  <c r="J95" i="1"/>
  <c r="G95" i="1"/>
  <c r="J94" i="1"/>
  <c r="K94" i="1" s="1"/>
  <c r="G94" i="1"/>
  <c r="J93" i="1"/>
  <c r="K93" i="1" s="1"/>
  <c r="G93" i="1"/>
  <c r="J92" i="1"/>
  <c r="K92" i="1" s="1"/>
  <c r="G92" i="1"/>
  <c r="J91" i="1"/>
  <c r="K91" i="1" s="1"/>
  <c r="G91" i="1"/>
  <c r="J90" i="1"/>
  <c r="K90" i="1" s="1"/>
  <c r="G90" i="1"/>
  <c r="J89" i="1"/>
  <c r="K89" i="1" s="1"/>
  <c r="G89" i="1"/>
  <c r="J88" i="1"/>
  <c r="K88" i="1" s="1"/>
  <c r="G88" i="1"/>
  <c r="J87" i="1"/>
  <c r="K87" i="1" s="1"/>
  <c r="G87" i="1"/>
  <c r="J86" i="1"/>
  <c r="K86" i="1" s="1"/>
  <c r="G86" i="1"/>
  <c r="J85" i="1"/>
  <c r="K85" i="1" s="1"/>
  <c r="G85" i="1"/>
  <c r="J84" i="1"/>
  <c r="K84" i="1" s="1"/>
  <c r="G84" i="1"/>
  <c r="J83" i="1"/>
  <c r="K83" i="1" s="1"/>
  <c r="G83" i="1"/>
  <c r="J82" i="1"/>
  <c r="K82" i="1" s="1"/>
  <c r="G82" i="1"/>
  <c r="J81" i="1"/>
  <c r="K81" i="1" s="1"/>
  <c r="G81" i="1"/>
  <c r="J80" i="1"/>
  <c r="K80" i="1" s="1"/>
  <c r="G80" i="1"/>
  <c r="K79" i="1"/>
  <c r="J79" i="1"/>
  <c r="J78" i="1"/>
  <c r="K78" i="1" s="1"/>
  <c r="G78" i="1"/>
  <c r="J77" i="1"/>
  <c r="K77" i="1" s="1"/>
  <c r="G77" i="1"/>
  <c r="J76" i="1"/>
  <c r="K76" i="1" s="1"/>
  <c r="G76" i="1"/>
  <c r="J75" i="1"/>
  <c r="K75" i="1" s="1"/>
  <c r="G75" i="1"/>
  <c r="J74" i="1"/>
  <c r="K74" i="1" s="1"/>
  <c r="G74" i="1"/>
  <c r="J73" i="1"/>
  <c r="K73" i="1" s="1"/>
  <c r="G73" i="1"/>
  <c r="J72" i="1"/>
  <c r="K72" i="1" s="1"/>
  <c r="G72" i="1"/>
  <c r="J71" i="1"/>
  <c r="K71" i="1" s="1"/>
  <c r="G71" i="1"/>
  <c r="J70" i="1"/>
  <c r="K70" i="1" s="1"/>
  <c r="J69" i="1"/>
  <c r="K69" i="1" s="1"/>
  <c r="G69" i="1"/>
  <c r="J68" i="1"/>
  <c r="K68" i="1" s="1"/>
  <c r="G68" i="1"/>
  <c r="J67" i="1"/>
  <c r="K67" i="1" s="1"/>
  <c r="G67" i="1"/>
  <c r="J66" i="1"/>
  <c r="K66" i="1" s="1"/>
  <c r="G66" i="1"/>
  <c r="K65" i="1"/>
  <c r="J65" i="1"/>
  <c r="G65" i="1"/>
  <c r="J64" i="1"/>
  <c r="K64" i="1" s="1"/>
  <c r="G64" i="1"/>
  <c r="J63" i="1"/>
  <c r="K63" i="1" s="1"/>
  <c r="J62" i="1"/>
  <c r="K62" i="1" s="1"/>
  <c r="G62" i="1"/>
  <c r="J61" i="1"/>
  <c r="K61" i="1" s="1"/>
  <c r="J60" i="1"/>
  <c r="K60" i="1" s="1"/>
  <c r="G60" i="1"/>
  <c r="J59" i="1"/>
  <c r="K59" i="1" s="1"/>
  <c r="J58" i="1"/>
  <c r="K58" i="1" s="1"/>
  <c r="G58" i="1"/>
  <c r="J57" i="1"/>
  <c r="K57" i="1" s="1"/>
  <c r="J56" i="1"/>
  <c r="K56" i="1" s="1"/>
  <c r="G56" i="1"/>
  <c r="K55" i="1"/>
  <c r="J55" i="1"/>
  <c r="G55" i="1"/>
  <c r="J54" i="1"/>
  <c r="K54" i="1" s="1"/>
  <c r="J53" i="1"/>
  <c r="K53" i="1" s="1"/>
  <c r="G53" i="1"/>
  <c r="J52" i="1"/>
  <c r="K52" i="1" s="1"/>
  <c r="J51" i="1"/>
  <c r="K51" i="1" s="1"/>
  <c r="J50" i="1"/>
  <c r="K50" i="1" s="1"/>
  <c r="G50" i="1"/>
  <c r="J49" i="1"/>
  <c r="K49" i="1" s="1"/>
  <c r="G49" i="1"/>
  <c r="K48" i="1"/>
  <c r="J48" i="1"/>
  <c r="G48" i="1"/>
  <c r="J47" i="1"/>
  <c r="K47" i="1" s="1"/>
  <c r="G47" i="1"/>
  <c r="J46" i="1"/>
  <c r="K46" i="1" s="1"/>
  <c r="G46" i="1"/>
  <c r="J45" i="1"/>
  <c r="K45" i="1" s="1"/>
  <c r="G45" i="1"/>
  <c r="J44" i="1"/>
  <c r="K44" i="1" s="1"/>
  <c r="G44" i="1"/>
  <c r="J43" i="1"/>
  <c r="K43" i="1" s="1"/>
  <c r="G43" i="1"/>
  <c r="J42" i="1"/>
  <c r="K42" i="1" s="1"/>
  <c r="G42" i="1"/>
  <c r="J41" i="1"/>
  <c r="K41" i="1" s="1"/>
  <c r="G41" i="1"/>
  <c r="J40" i="1"/>
  <c r="K40" i="1" s="1"/>
  <c r="G40" i="1"/>
  <c r="J39" i="1"/>
  <c r="K39" i="1" s="1"/>
  <c r="J38" i="1"/>
  <c r="K38" i="1" s="1"/>
  <c r="J37" i="1"/>
  <c r="K37" i="1" s="1"/>
  <c r="G37" i="1"/>
  <c r="J36" i="1"/>
  <c r="K36" i="1" s="1"/>
  <c r="J35" i="1"/>
  <c r="K35" i="1" s="1"/>
  <c r="G35" i="1"/>
  <c r="J34" i="1"/>
  <c r="K34" i="1" s="1"/>
  <c r="J33" i="1"/>
  <c r="K33" i="1" s="1"/>
  <c r="J32" i="1"/>
  <c r="K32" i="1" s="1"/>
  <c r="J31" i="1"/>
  <c r="K31" i="1" s="1"/>
  <c r="G31" i="1"/>
  <c r="K30" i="1"/>
  <c r="J30" i="1"/>
  <c r="G30" i="1"/>
  <c r="J29" i="1"/>
  <c r="K29" i="1" s="1"/>
  <c r="G29" i="1"/>
  <c r="J28" i="1"/>
  <c r="K28" i="1" s="1"/>
  <c r="J27" i="1"/>
  <c r="K27" i="1" s="1"/>
  <c r="J26" i="1"/>
  <c r="K26" i="1" s="1"/>
  <c r="G26" i="1"/>
  <c r="J25" i="1"/>
  <c r="K25" i="1" s="1"/>
  <c r="G25" i="1"/>
  <c r="J24" i="1"/>
  <c r="K24" i="1" s="1"/>
  <c r="G24" i="1"/>
  <c r="J23" i="1"/>
  <c r="K23" i="1" s="1"/>
  <c r="G23" i="1"/>
  <c r="K22" i="1"/>
  <c r="J22" i="1"/>
  <c r="J21" i="1"/>
  <c r="K21" i="1" s="1"/>
  <c r="G21" i="1"/>
  <c r="J20" i="1"/>
  <c r="K20" i="1" s="1"/>
  <c r="J19" i="1"/>
  <c r="K19" i="1" s="1"/>
  <c r="G19" i="1"/>
  <c r="J18" i="1"/>
  <c r="K18" i="1" s="1"/>
  <c r="G18" i="1"/>
  <c r="J17" i="1"/>
  <c r="K17" i="1" s="1"/>
  <c r="G17" i="1"/>
  <c r="J16" i="1"/>
  <c r="K16" i="1" s="1"/>
  <c r="G16" i="1"/>
  <c r="J15" i="1"/>
  <c r="K15" i="1" s="1"/>
  <c r="G15" i="1"/>
  <c r="K14" i="1"/>
  <c r="J14" i="1"/>
  <c r="J13" i="1"/>
  <c r="K13" i="1" s="1"/>
  <c r="G13" i="1"/>
  <c r="J12" i="1"/>
  <c r="K12" i="1" s="1"/>
  <c r="G12" i="1"/>
  <c r="J11" i="1"/>
  <c r="K11" i="1" s="1"/>
  <c r="J10" i="1"/>
  <c r="K10" i="1" s="1"/>
  <c r="G10" i="1"/>
  <c r="J9" i="1"/>
  <c r="K9" i="1" s="1"/>
  <c r="G9" i="1"/>
  <c r="J8" i="1"/>
  <c r="K8" i="1" s="1"/>
  <c r="G8" i="1"/>
  <c r="J7" i="1"/>
  <c r="K7" i="1" s="1"/>
  <c r="G7" i="1"/>
  <c r="K6" i="1"/>
  <c r="J6" i="1"/>
  <c r="G6" i="1"/>
  <c r="J5" i="1"/>
  <c r="K5" i="1" s="1"/>
  <c r="G5" i="1"/>
  <c r="J4" i="1"/>
  <c r="K4" i="1" s="1"/>
  <c r="G4" i="1"/>
  <c r="J3" i="1"/>
  <c r="K3" i="1" s="1"/>
  <c r="G3" i="1"/>
  <c r="J2" i="1"/>
  <c r="K2" i="1" s="1"/>
  <c r="G2" i="1"/>
</calcChain>
</file>

<file path=xl/sharedStrings.xml><?xml version="1.0" encoding="utf-8"?>
<sst xmlns="http://schemas.openxmlformats.org/spreadsheetml/2006/main" count="2662" uniqueCount="346">
  <si>
    <t>Plate</t>
  </si>
  <si>
    <t>Cross</t>
  </si>
  <si>
    <t>Rep</t>
  </si>
  <si>
    <t>Well</t>
  </si>
  <si>
    <t>status</t>
  </si>
  <si>
    <t>eggs</t>
  </si>
  <si>
    <t>larvae</t>
  </si>
  <si>
    <t>Percentage hatch rate</t>
  </si>
  <si>
    <t>num per replicate</t>
  </si>
  <si>
    <t>Blood fed per replicate</t>
  </si>
  <si>
    <t>Percentage death after blood feeding per replicate</t>
  </si>
  <si>
    <t>SDAxSDA</t>
  </si>
  <si>
    <t>A</t>
  </si>
  <si>
    <t>C1</t>
  </si>
  <si>
    <t>B1</t>
  </si>
  <si>
    <t>A1</t>
  </si>
  <si>
    <t>C2</t>
  </si>
  <si>
    <t>B2</t>
  </si>
  <si>
    <t>A2</t>
  </si>
  <si>
    <t>B</t>
  </si>
  <si>
    <t>C3</t>
  </si>
  <si>
    <t>B3</t>
  </si>
  <si>
    <t>A3</t>
  </si>
  <si>
    <t>C4</t>
  </si>
  <si>
    <t>_</t>
  </si>
  <si>
    <t>B4</t>
  </si>
  <si>
    <t>A4</t>
  </si>
  <si>
    <t>FDW</t>
  </si>
  <si>
    <t>C</t>
  </si>
  <si>
    <t>D</t>
  </si>
  <si>
    <t>E</t>
  </si>
  <si>
    <t>CdKO(het)xSDA</t>
  </si>
  <si>
    <t>SDAxCdKO(het)</t>
  </si>
  <si>
    <t>CdKO(hom)xSDA</t>
  </si>
  <si>
    <t>SDAxCdKO(hom)</t>
  </si>
  <si>
    <t>Plate+well</t>
  </si>
  <si>
    <t>Replicate</t>
  </si>
  <si>
    <t>Egg num</t>
  </si>
  <si>
    <t>Larvae num</t>
  </si>
  <si>
    <t>Female death</t>
  </si>
  <si>
    <t>Females engorged</t>
  </si>
  <si>
    <t>1+c1</t>
  </si>
  <si>
    <t>WTxSDA</t>
  </si>
  <si>
    <t>1+b1</t>
  </si>
  <si>
    <t>1+a1</t>
  </si>
  <si>
    <t>1+c2</t>
  </si>
  <si>
    <t>1+b2</t>
  </si>
  <si>
    <t>1+a2</t>
  </si>
  <si>
    <t>1+c3</t>
  </si>
  <si>
    <t>1+b3</t>
  </si>
  <si>
    <t>1+a3</t>
  </si>
  <si>
    <t>1+c4</t>
  </si>
  <si>
    <t>1+b4</t>
  </si>
  <si>
    <t>1+a4</t>
  </si>
  <si>
    <t>2+c1</t>
  </si>
  <si>
    <t>2+b1</t>
  </si>
  <si>
    <t>2+a1</t>
  </si>
  <si>
    <t>2+c2</t>
  </si>
  <si>
    <t>2+b2</t>
  </si>
  <si>
    <t>2+a2</t>
  </si>
  <si>
    <t>2+c3</t>
  </si>
  <si>
    <t>2+b3</t>
  </si>
  <si>
    <t>2+a3</t>
  </si>
  <si>
    <t>2+c4</t>
  </si>
  <si>
    <t>2+b4</t>
  </si>
  <si>
    <t>2+a4</t>
  </si>
  <si>
    <t>N/A</t>
  </si>
  <si>
    <t>3+c1</t>
  </si>
  <si>
    <t>3+b1</t>
  </si>
  <si>
    <t>3+a1</t>
  </si>
  <si>
    <t>3+c2</t>
  </si>
  <si>
    <t>3+b2</t>
  </si>
  <si>
    <t>3+a2</t>
  </si>
  <si>
    <t>3+c3</t>
  </si>
  <si>
    <t>3+b3</t>
  </si>
  <si>
    <t>3+a3</t>
  </si>
  <si>
    <t>3+c4</t>
  </si>
  <si>
    <t>3+b4</t>
  </si>
  <si>
    <t>3+a4</t>
  </si>
  <si>
    <t>4+c1</t>
  </si>
  <si>
    <t>4+b1</t>
  </si>
  <si>
    <t>4+a1</t>
  </si>
  <si>
    <t>4+c2</t>
  </si>
  <si>
    <t>4+b2</t>
  </si>
  <si>
    <t>4+a2</t>
  </si>
  <si>
    <t>SDAxWT</t>
  </si>
  <si>
    <t>4+c3</t>
  </si>
  <si>
    <t>4+b3</t>
  </si>
  <si>
    <t>4+a3</t>
  </si>
  <si>
    <t>4+c4</t>
  </si>
  <si>
    <t>4+b4</t>
  </si>
  <si>
    <t>4+a4</t>
  </si>
  <si>
    <t>5+c1</t>
  </si>
  <si>
    <t>5+b1</t>
  </si>
  <si>
    <t>5+a1</t>
  </si>
  <si>
    <t>5+c2</t>
  </si>
  <si>
    <t>5+b2</t>
  </si>
  <si>
    <t>5+a2</t>
  </si>
  <si>
    <t>5+c3</t>
  </si>
  <si>
    <t>5+b3</t>
  </si>
  <si>
    <t>5+a3</t>
  </si>
  <si>
    <t>5+c4</t>
  </si>
  <si>
    <t>5+b4</t>
  </si>
  <si>
    <t>5+a4</t>
  </si>
  <si>
    <t>6+c1</t>
  </si>
  <si>
    <t>6+b1</t>
  </si>
  <si>
    <t>6+a1</t>
  </si>
  <si>
    <t>6+c2</t>
  </si>
  <si>
    <t>6+b2</t>
  </si>
  <si>
    <t>6+a2</t>
  </si>
  <si>
    <t>6+c3</t>
  </si>
  <si>
    <t>6+b3</t>
  </si>
  <si>
    <t>6+a3</t>
  </si>
  <si>
    <t>6+c4</t>
  </si>
  <si>
    <t>7+c1</t>
  </si>
  <si>
    <t>7+b1</t>
  </si>
  <si>
    <t>7+a1</t>
  </si>
  <si>
    <t>7+c2</t>
  </si>
  <si>
    <t>7+b2</t>
  </si>
  <si>
    <t>7+a2</t>
  </si>
  <si>
    <t>HETxSDA</t>
  </si>
  <si>
    <t>7+c3</t>
  </si>
  <si>
    <t>7+b3</t>
  </si>
  <si>
    <t>7+a3</t>
  </si>
  <si>
    <t>7+c4</t>
  </si>
  <si>
    <t>7+b4</t>
  </si>
  <si>
    <t>7+a4</t>
  </si>
  <si>
    <t>8+c1</t>
  </si>
  <si>
    <t>8+b1</t>
  </si>
  <si>
    <t>8+a1</t>
  </si>
  <si>
    <t>8+c2</t>
  </si>
  <si>
    <t>8+b2</t>
  </si>
  <si>
    <t>8+a2</t>
  </si>
  <si>
    <t>8+c3</t>
  </si>
  <si>
    <t>8+b3</t>
  </si>
  <si>
    <t>8+a3</t>
  </si>
  <si>
    <t>8+c4</t>
  </si>
  <si>
    <t>8+b4</t>
  </si>
  <si>
    <t>8+a4</t>
  </si>
  <si>
    <t>9+c1</t>
  </si>
  <si>
    <t>9+b1</t>
  </si>
  <si>
    <t>9+a1</t>
  </si>
  <si>
    <t>9+c2</t>
  </si>
  <si>
    <t>9+b2</t>
  </si>
  <si>
    <t>9+a2</t>
  </si>
  <si>
    <t>9+c3</t>
  </si>
  <si>
    <t>9+b3</t>
  </si>
  <si>
    <t>9+a3</t>
  </si>
  <si>
    <t>9+c4</t>
  </si>
  <si>
    <t>10+c1</t>
  </si>
  <si>
    <t>10+b1</t>
  </si>
  <si>
    <t>10+a1</t>
  </si>
  <si>
    <t>10+c2</t>
  </si>
  <si>
    <t>10+b2</t>
  </si>
  <si>
    <t>10+a2</t>
  </si>
  <si>
    <t>10+c3</t>
  </si>
  <si>
    <t>10+b3</t>
  </si>
  <si>
    <t>10+a3</t>
  </si>
  <si>
    <t>10+c4</t>
  </si>
  <si>
    <t>10+b4</t>
  </si>
  <si>
    <t>10+a4</t>
  </si>
  <si>
    <t>11+c1</t>
  </si>
  <si>
    <t>11+b1</t>
  </si>
  <si>
    <t>11+a1</t>
  </si>
  <si>
    <t>11+c2</t>
  </si>
  <si>
    <t>11+b2</t>
  </si>
  <si>
    <t>11+a2</t>
  </si>
  <si>
    <t>11+c3</t>
  </si>
  <si>
    <t>11+b3</t>
  </si>
  <si>
    <t>SDAxHET</t>
  </si>
  <si>
    <t>0+1</t>
  </si>
  <si>
    <t>11+a3</t>
  </si>
  <si>
    <t>11+c4</t>
  </si>
  <si>
    <t>11+b4</t>
  </si>
  <si>
    <t>11+a4</t>
  </si>
  <si>
    <t>12+c1</t>
  </si>
  <si>
    <t>DIW (dead in well)</t>
  </si>
  <si>
    <t>12+b1</t>
  </si>
  <si>
    <t>12+a1</t>
  </si>
  <si>
    <t>12+c2</t>
  </si>
  <si>
    <t>12+b2</t>
  </si>
  <si>
    <t>12+a2</t>
  </si>
  <si>
    <t>12+c3</t>
  </si>
  <si>
    <t>12+b3</t>
  </si>
  <si>
    <t>12+a3</t>
  </si>
  <si>
    <t>12+c4</t>
  </si>
  <si>
    <t>12+b4</t>
  </si>
  <si>
    <t>12+a4</t>
  </si>
  <si>
    <t>13+c1</t>
  </si>
  <si>
    <t>13+b1</t>
  </si>
  <si>
    <t>13+a1</t>
  </si>
  <si>
    <t>13+c2</t>
  </si>
  <si>
    <t>13+b2</t>
  </si>
  <si>
    <t>13+a2</t>
  </si>
  <si>
    <t>13+c3</t>
  </si>
  <si>
    <t>13+b3</t>
  </si>
  <si>
    <t>13+a3</t>
  </si>
  <si>
    <t>14+c1</t>
  </si>
  <si>
    <t>5 males added</t>
  </si>
  <si>
    <t>4+1</t>
  </si>
  <si>
    <t>14+b1</t>
  </si>
  <si>
    <t>DIW</t>
  </si>
  <si>
    <t>14+a1</t>
  </si>
  <si>
    <t>14+c2</t>
  </si>
  <si>
    <t>14+b2</t>
  </si>
  <si>
    <t>14+a2</t>
  </si>
  <si>
    <t>Remade</t>
  </si>
  <si>
    <t>14+c3</t>
  </si>
  <si>
    <t>14+b3</t>
  </si>
  <si>
    <t>14+a3</t>
  </si>
  <si>
    <t>14+c4</t>
  </si>
  <si>
    <t>14+b4</t>
  </si>
  <si>
    <t>14+a4</t>
  </si>
  <si>
    <t>15+c1</t>
  </si>
  <si>
    <t>16+c1</t>
  </si>
  <si>
    <t>HOMxSDA</t>
  </si>
  <si>
    <t>16+b1</t>
  </si>
  <si>
    <t>16+a1</t>
  </si>
  <si>
    <t>16+c2</t>
  </si>
  <si>
    <t>16+b2</t>
  </si>
  <si>
    <t>16+a2</t>
  </si>
  <si>
    <t>17+b4</t>
  </si>
  <si>
    <t>17+a4</t>
  </si>
  <si>
    <t>17+b1</t>
  </si>
  <si>
    <t>17+a1</t>
  </si>
  <si>
    <t>17+c2</t>
  </si>
  <si>
    <t>17+b2</t>
  </si>
  <si>
    <t>17+a2</t>
  </si>
  <si>
    <t>17+c3</t>
  </si>
  <si>
    <t>17+b3</t>
  </si>
  <si>
    <t>17+a3</t>
  </si>
  <si>
    <t>17+c4</t>
  </si>
  <si>
    <t>18+c2</t>
  </si>
  <si>
    <t>18+b2</t>
  </si>
  <si>
    <t>18+a2</t>
  </si>
  <si>
    <t>18+c3</t>
  </si>
  <si>
    <t>18+b3</t>
  </si>
  <si>
    <t>18+a3</t>
  </si>
  <si>
    <t>18+c4</t>
  </si>
  <si>
    <t>18+b4</t>
  </si>
  <si>
    <t>18+a4</t>
  </si>
  <si>
    <t>19+c4</t>
  </si>
  <si>
    <t>19+b4</t>
  </si>
  <si>
    <t>19+a4</t>
  </si>
  <si>
    <t>19+b1</t>
  </si>
  <si>
    <t>19+a1</t>
  </si>
  <si>
    <t>19+c2</t>
  </si>
  <si>
    <t>19+b2</t>
  </si>
  <si>
    <t>19+a2</t>
  </si>
  <si>
    <t>19+c3</t>
  </si>
  <si>
    <t>19+b3</t>
  </si>
  <si>
    <t>19+a3</t>
  </si>
  <si>
    <t>20+a3</t>
  </si>
  <si>
    <t>SDAxHOM</t>
  </si>
  <si>
    <t>20+c4</t>
  </si>
  <si>
    <t>20+b4</t>
  </si>
  <si>
    <t>MWE (majority white eggs)</t>
  </si>
  <si>
    <t>20+a4</t>
  </si>
  <si>
    <t>20+c1</t>
  </si>
  <si>
    <t>MWE</t>
  </si>
  <si>
    <t>20+b1</t>
  </si>
  <si>
    <t>20+a1</t>
  </si>
  <si>
    <t>20+c2</t>
  </si>
  <si>
    <t>20+b2</t>
  </si>
  <si>
    <t>20+a2</t>
  </si>
  <si>
    <t>20+c3</t>
  </si>
  <si>
    <t>20+b3</t>
  </si>
  <si>
    <t>21+a2</t>
  </si>
  <si>
    <t>21+c3</t>
  </si>
  <si>
    <t>21+b3</t>
  </si>
  <si>
    <t>21+a3</t>
  </si>
  <si>
    <t>21+c4</t>
  </si>
  <si>
    <t>21+b4</t>
  </si>
  <si>
    <t>21+a4</t>
  </si>
  <si>
    <t>21+a1</t>
  </si>
  <si>
    <t>21+c2</t>
  </si>
  <si>
    <t>21+b2</t>
  </si>
  <si>
    <t>16+a4</t>
  </si>
  <si>
    <t>16+c3</t>
  </si>
  <si>
    <t>5+1</t>
  </si>
  <si>
    <t>16+b3</t>
  </si>
  <si>
    <t>16+a3</t>
  </si>
  <si>
    <t>16+c4</t>
  </si>
  <si>
    <t>16+b4</t>
  </si>
  <si>
    <t>Well position</t>
  </si>
  <si>
    <t>Replicate cage</t>
  </si>
  <si>
    <t>notes</t>
  </si>
  <si>
    <t>-</t>
  </si>
  <si>
    <t>Female died</t>
  </si>
  <si>
    <t>Engorgement rate</t>
  </si>
  <si>
    <t>knock-out</t>
  </si>
  <si>
    <t>Cross (♀ X ♂)</t>
  </si>
  <si>
    <t>knock-in</t>
  </si>
  <si>
    <t>35/50</t>
  </si>
  <si>
    <t>SDA500 X SDA500</t>
  </si>
  <si>
    <t>n.d.</t>
  </si>
  <si>
    <t>43/50</t>
  </si>
  <si>
    <t>39/50</t>
  </si>
  <si>
    <t>SDA500 X Het</t>
  </si>
  <si>
    <t>50/50*</t>
  </si>
  <si>
    <t>29/50</t>
  </si>
  <si>
    <t>SDA500 X Hom</t>
  </si>
  <si>
    <t>41/50</t>
  </si>
  <si>
    <t>†WT X SDA500</t>
  </si>
  <si>
    <t>46/50**</t>
  </si>
  <si>
    <t>Het X SDA500</t>
  </si>
  <si>
    <t>48/50</t>
  </si>
  <si>
    <t>Hom X SDA500</t>
  </si>
  <si>
    <t>49/50*</t>
  </si>
  <si>
    <t>Survival rate post BF</t>
  </si>
  <si>
    <t>27/35</t>
  </si>
  <si>
    <t>41/43</t>
  </si>
  <si>
    <t>32/39</t>
  </si>
  <si>
    <t>19/29</t>
  </si>
  <si>
    <t>37/41</t>
  </si>
  <si>
    <t>34/41</t>
  </si>
  <si>
    <t>44/46*</t>
  </si>
  <si>
    <t>37/48</t>
  </si>
  <si>
    <t>32/35</t>
  </si>
  <si>
    <t>27/49**</t>
  </si>
  <si>
    <t>Egg laying rate (excludes dead females)</t>
  </si>
  <si>
    <t>25/27</t>
  </si>
  <si>
    <t>39/41</t>
  </si>
  <si>
    <t>29/32</t>
  </si>
  <si>
    <t>41/48</t>
  </si>
  <si>
    <t>17/19</t>
  </si>
  <si>
    <t>13/37****</t>
  </si>
  <si>
    <t>33/34</t>
  </si>
  <si>
    <t>41/44</t>
  </si>
  <si>
    <t>32/37</t>
  </si>
  <si>
    <t>22/32*</t>
  </si>
  <si>
    <t>22/27</t>
  </si>
  <si>
    <t>Hatch success rate</t>
  </si>
  <si>
    <t>24/25</t>
  </si>
  <si>
    <t>37/39</t>
  </si>
  <si>
    <t>29/29</t>
  </si>
  <si>
    <t>17/17</t>
  </si>
  <si>
    <t>33/33</t>
  </si>
  <si>
    <t>40/41</t>
  </si>
  <si>
    <t>32/32</t>
  </si>
  <si>
    <t>22/22</t>
  </si>
  <si>
    <t>13/22****</t>
  </si>
  <si>
    <r>
      <rPr>
        <sz val="10"/>
        <color theme="1"/>
        <rFont val="Arial"/>
        <family val="2"/>
      </rPr>
      <t>SDA500 X WT</t>
    </r>
    <r>
      <rPr>
        <sz val="10"/>
        <color theme="1"/>
        <rFont val="Calibri"/>
        <family val="2"/>
      </rPr>
      <t>†</t>
    </r>
  </si>
  <si>
    <t>11/13</t>
  </si>
  <si>
    <t>Engorged Females</t>
  </si>
  <si>
    <t>Non-Engorged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</si>
</sst>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E143-05D8-458C-AC68-B54DE03DF5F5}">
  <dimension ref="A1:S185"/>
  <sheetViews>
    <sheetView topLeftCell="A163" workbookViewId="0">
      <selection sqref="A1:S185"/>
    </sheetView>
  </sheetViews>
  <sheetFormatPr defaultRowHeight="14.4" x14ac:dyDescent="0.55000000000000004"/>
  <sheetData>
    <row r="1" spans="1:1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J1" s="1" t="s">
        <v>7</v>
      </c>
      <c r="M1" s="1" t="s">
        <v>8</v>
      </c>
      <c r="P1" s="1" t="s">
        <v>9</v>
      </c>
      <c r="S1" s="1" t="s">
        <v>10</v>
      </c>
    </row>
    <row r="2" spans="1:19" x14ac:dyDescent="0.55000000000000004">
      <c r="A2" s="1">
        <v>1</v>
      </c>
      <c r="B2" s="1" t="s">
        <v>11</v>
      </c>
      <c r="C2" s="1" t="s">
        <v>12</v>
      </c>
      <c r="D2" s="1" t="s">
        <v>13</v>
      </c>
      <c r="F2" s="1">
        <v>15</v>
      </c>
      <c r="G2" s="1">
        <f t="shared" ref="G2:G10" si="0">F2*-1</f>
        <v>-15</v>
      </c>
      <c r="H2" s="1">
        <v>12</v>
      </c>
      <c r="J2" s="1">
        <f t="shared" ref="J2:J185" si="1">H2/F2*100</f>
        <v>80</v>
      </c>
      <c r="K2" s="1">
        <f t="shared" ref="K2:K185" si="2">J2*-1</f>
        <v>-80</v>
      </c>
      <c r="M2" s="1">
        <v>6</v>
      </c>
      <c r="P2" s="1">
        <v>9</v>
      </c>
      <c r="S2" s="1">
        <v>30</v>
      </c>
    </row>
    <row r="3" spans="1:19" x14ac:dyDescent="0.55000000000000004">
      <c r="A3" s="1">
        <v>1</v>
      </c>
      <c r="B3" s="1" t="s">
        <v>11</v>
      </c>
      <c r="C3" s="1" t="s">
        <v>12</v>
      </c>
      <c r="D3" s="1" t="s">
        <v>14</v>
      </c>
      <c r="F3" s="1">
        <v>39</v>
      </c>
      <c r="G3" s="1">
        <f t="shared" si="0"/>
        <v>-39</v>
      </c>
      <c r="H3" s="1">
        <v>23</v>
      </c>
      <c r="J3" s="1">
        <f t="shared" si="1"/>
        <v>58.974358974358978</v>
      </c>
      <c r="K3" s="1">
        <f t="shared" si="2"/>
        <v>-58.974358974358978</v>
      </c>
    </row>
    <row r="4" spans="1:19" x14ac:dyDescent="0.55000000000000004">
      <c r="A4" s="1">
        <v>1</v>
      </c>
      <c r="B4" s="1" t="s">
        <v>11</v>
      </c>
      <c r="C4" s="1" t="s">
        <v>12</v>
      </c>
      <c r="D4" s="1" t="s">
        <v>15</v>
      </c>
      <c r="F4" s="1">
        <v>151</v>
      </c>
      <c r="G4" s="1">
        <f t="shared" si="0"/>
        <v>-151</v>
      </c>
      <c r="H4" s="1">
        <v>136</v>
      </c>
      <c r="J4" s="1">
        <f t="shared" si="1"/>
        <v>90.066225165562912</v>
      </c>
      <c r="K4" s="1">
        <f t="shared" si="2"/>
        <v>-90.066225165562912</v>
      </c>
    </row>
    <row r="5" spans="1:19" x14ac:dyDescent="0.55000000000000004">
      <c r="A5" s="1">
        <v>1</v>
      </c>
      <c r="B5" s="1" t="s">
        <v>11</v>
      </c>
      <c r="C5" s="1" t="s">
        <v>12</v>
      </c>
      <c r="D5" s="1" t="s">
        <v>16</v>
      </c>
      <c r="F5" s="1">
        <v>179</v>
      </c>
      <c r="G5" s="1">
        <f t="shared" si="0"/>
        <v>-179</v>
      </c>
      <c r="H5" s="1">
        <v>158</v>
      </c>
      <c r="J5" s="1">
        <f t="shared" si="1"/>
        <v>88.268156424581008</v>
      </c>
      <c r="K5" s="1">
        <f t="shared" si="2"/>
        <v>-88.268156424581008</v>
      </c>
    </row>
    <row r="6" spans="1:19" x14ac:dyDescent="0.55000000000000004">
      <c r="A6" s="1">
        <v>1</v>
      </c>
      <c r="B6" s="1" t="s">
        <v>11</v>
      </c>
      <c r="C6" s="1" t="s">
        <v>12</v>
      </c>
      <c r="D6" s="1" t="s">
        <v>17</v>
      </c>
      <c r="F6" s="1">
        <v>44</v>
      </c>
      <c r="G6" s="1">
        <f t="shared" si="0"/>
        <v>-44</v>
      </c>
      <c r="H6" s="1">
        <v>19</v>
      </c>
      <c r="J6" s="1">
        <f t="shared" si="1"/>
        <v>43.18181818181818</v>
      </c>
      <c r="K6" s="1">
        <f t="shared" si="2"/>
        <v>-43.18181818181818</v>
      </c>
    </row>
    <row r="7" spans="1:19" x14ac:dyDescent="0.55000000000000004">
      <c r="A7" s="1">
        <v>1</v>
      </c>
      <c r="B7" s="1" t="s">
        <v>11</v>
      </c>
      <c r="C7" s="1" t="s">
        <v>12</v>
      </c>
      <c r="D7" s="1" t="s">
        <v>18</v>
      </c>
      <c r="F7" s="1">
        <v>35</v>
      </c>
      <c r="G7" s="1">
        <f t="shared" si="0"/>
        <v>-35</v>
      </c>
      <c r="H7" s="1">
        <v>29</v>
      </c>
      <c r="J7" s="1">
        <f t="shared" si="1"/>
        <v>82.857142857142861</v>
      </c>
      <c r="K7" s="1">
        <f t="shared" si="2"/>
        <v>-82.857142857142861</v>
      </c>
    </row>
    <row r="8" spans="1:19" x14ac:dyDescent="0.55000000000000004">
      <c r="A8" s="1">
        <v>1</v>
      </c>
      <c r="B8" s="1" t="s">
        <v>11</v>
      </c>
      <c r="C8" s="1" t="s">
        <v>19</v>
      </c>
      <c r="D8" s="1" t="s">
        <v>20</v>
      </c>
      <c r="F8" s="1">
        <v>75</v>
      </c>
      <c r="G8" s="1">
        <f t="shared" si="0"/>
        <v>-75</v>
      </c>
      <c r="H8" s="1">
        <v>68</v>
      </c>
      <c r="J8" s="1">
        <f t="shared" si="1"/>
        <v>90.666666666666657</v>
      </c>
      <c r="K8" s="1">
        <f t="shared" si="2"/>
        <v>-90.666666666666657</v>
      </c>
      <c r="M8" s="1">
        <v>8</v>
      </c>
      <c r="P8" s="1">
        <v>8</v>
      </c>
      <c r="S8" s="1">
        <v>10</v>
      </c>
    </row>
    <row r="9" spans="1:19" x14ac:dyDescent="0.55000000000000004">
      <c r="A9" s="1">
        <v>1</v>
      </c>
      <c r="B9" s="1" t="s">
        <v>11</v>
      </c>
      <c r="C9" s="1" t="s">
        <v>19</v>
      </c>
      <c r="D9" s="1" t="s">
        <v>21</v>
      </c>
      <c r="F9" s="1">
        <v>21</v>
      </c>
      <c r="G9" s="1">
        <f t="shared" si="0"/>
        <v>-21</v>
      </c>
      <c r="H9" s="1">
        <v>16</v>
      </c>
      <c r="J9" s="1">
        <f t="shared" si="1"/>
        <v>76.19047619047619</v>
      </c>
      <c r="K9" s="1">
        <f t="shared" si="2"/>
        <v>-76.19047619047619</v>
      </c>
    </row>
    <row r="10" spans="1:19" x14ac:dyDescent="0.55000000000000004">
      <c r="A10" s="1">
        <v>1</v>
      </c>
      <c r="B10" s="1" t="s">
        <v>11</v>
      </c>
      <c r="C10" s="1" t="s">
        <v>19</v>
      </c>
      <c r="D10" s="1" t="s">
        <v>22</v>
      </c>
      <c r="F10" s="1">
        <v>45</v>
      </c>
      <c r="G10" s="1">
        <f t="shared" si="0"/>
        <v>-45</v>
      </c>
      <c r="H10" s="1">
        <v>41</v>
      </c>
      <c r="J10" s="1">
        <f t="shared" si="1"/>
        <v>91.111111111111114</v>
      </c>
      <c r="K10" s="1">
        <f t="shared" si="2"/>
        <v>-91.111111111111114</v>
      </c>
    </row>
    <row r="11" spans="1:19" x14ac:dyDescent="0.55000000000000004">
      <c r="A11" s="1">
        <v>1</v>
      </c>
      <c r="B11" s="1" t="s">
        <v>11</v>
      </c>
      <c r="C11" s="1" t="s">
        <v>19</v>
      </c>
      <c r="D11" s="1" t="s">
        <v>23</v>
      </c>
      <c r="F11" s="1">
        <v>0</v>
      </c>
      <c r="H11" s="1" t="s">
        <v>24</v>
      </c>
      <c r="J11" s="1" t="e">
        <f t="shared" si="1"/>
        <v>#VALUE!</v>
      </c>
      <c r="K11" s="1" t="e">
        <f t="shared" si="2"/>
        <v>#VALUE!</v>
      </c>
    </row>
    <row r="12" spans="1:19" x14ac:dyDescent="0.55000000000000004">
      <c r="A12" s="1">
        <v>1</v>
      </c>
      <c r="B12" s="1" t="s">
        <v>11</v>
      </c>
      <c r="C12" s="1" t="s">
        <v>19</v>
      </c>
      <c r="D12" s="1" t="s">
        <v>25</v>
      </c>
      <c r="F12" s="1">
        <v>155</v>
      </c>
      <c r="G12" s="1">
        <f t="shared" ref="G12:G13" si="3">F12*-1</f>
        <v>-155</v>
      </c>
      <c r="H12" s="1">
        <v>153</v>
      </c>
      <c r="J12" s="1">
        <f t="shared" si="1"/>
        <v>98.709677419354833</v>
      </c>
      <c r="K12" s="1">
        <f t="shared" si="2"/>
        <v>-98.709677419354833</v>
      </c>
    </row>
    <row r="13" spans="1:19" x14ac:dyDescent="0.55000000000000004">
      <c r="A13" s="1">
        <v>1</v>
      </c>
      <c r="B13" s="1" t="s">
        <v>11</v>
      </c>
      <c r="C13" s="1" t="s">
        <v>19</v>
      </c>
      <c r="D13" s="1" t="s">
        <v>26</v>
      </c>
      <c r="F13" s="1">
        <v>77</v>
      </c>
      <c r="G13" s="1">
        <f t="shared" si="3"/>
        <v>-77</v>
      </c>
      <c r="H13" s="1">
        <v>75</v>
      </c>
      <c r="J13" s="1">
        <f t="shared" si="1"/>
        <v>97.402597402597408</v>
      </c>
      <c r="K13" s="1">
        <f t="shared" si="2"/>
        <v>-97.402597402597408</v>
      </c>
    </row>
    <row r="14" spans="1:19" x14ac:dyDescent="0.55000000000000004">
      <c r="A14" s="1">
        <v>2</v>
      </c>
      <c r="B14" s="1" t="s">
        <v>11</v>
      </c>
      <c r="C14" s="1" t="s">
        <v>19</v>
      </c>
      <c r="D14" s="1" t="s">
        <v>13</v>
      </c>
      <c r="E14" s="2" t="s">
        <v>27</v>
      </c>
      <c r="F14" s="1">
        <v>0</v>
      </c>
      <c r="H14" s="1" t="s">
        <v>24</v>
      </c>
      <c r="J14" s="1" t="e">
        <f t="shared" si="1"/>
        <v>#VALUE!</v>
      </c>
      <c r="K14" s="1" t="e">
        <f t="shared" si="2"/>
        <v>#VALUE!</v>
      </c>
    </row>
    <row r="15" spans="1:19" x14ac:dyDescent="0.55000000000000004">
      <c r="A15" s="1">
        <v>2</v>
      </c>
      <c r="B15" s="1" t="s">
        <v>11</v>
      </c>
      <c r="C15" s="1" t="s">
        <v>19</v>
      </c>
      <c r="D15" s="1" t="s">
        <v>14</v>
      </c>
      <c r="F15" s="1">
        <v>61</v>
      </c>
      <c r="G15" s="1">
        <f t="shared" ref="G15:G19" si="4">F15*-1</f>
        <v>-61</v>
      </c>
      <c r="H15" s="1">
        <v>44</v>
      </c>
      <c r="J15" s="1">
        <f t="shared" si="1"/>
        <v>72.131147540983605</v>
      </c>
      <c r="K15" s="1">
        <f t="shared" si="2"/>
        <v>-72.131147540983605</v>
      </c>
    </row>
    <row r="16" spans="1:19" x14ac:dyDescent="0.55000000000000004">
      <c r="A16" s="1">
        <v>2</v>
      </c>
      <c r="B16" s="1" t="s">
        <v>11</v>
      </c>
      <c r="C16" s="1" t="s">
        <v>28</v>
      </c>
      <c r="D16" s="1" t="s">
        <v>15</v>
      </c>
      <c r="F16" s="1">
        <v>51</v>
      </c>
      <c r="G16" s="1">
        <f t="shared" si="4"/>
        <v>-51</v>
      </c>
      <c r="H16" s="1">
        <v>0</v>
      </c>
      <c r="J16" s="1">
        <f t="shared" si="1"/>
        <v>0</v>
      </c>
      <c r="K16" s="1">
        <f t="shared" si="2"/>
        <v>0</v>
      </c>
      <c r="M16" s="1">
        <v>7</v>
      </c>
      <c r="P16" s="1">
        <v>9</v>
      </c>
      <c r="S16" s="1">
        <v>20</v>
      </c>
    </row>
    <row r="17" spans="1:19" x14ac:dyDescent="0.55000000000000004">
      <c r="A17" s="1">
        <v>2</v>
      </c>
      <c r="B17" s="1" t="s">
        <v>11</v>
      </c>
      <c r="C17" s="1" t="s">
        <v>28</v>
      </c>
      <c r="D17" s="1" t="s">
        <v>16</v>
      </c>
      <c r="F17" s="1">
        <v>126</v>
      </c>
      <c r="G17" s="1">
        <f t="shared" si="4"/>
        <v>-126</v>
      </c>
      <c r="H17" s="1">
        <v>101</v>
      </c>
      <c r="J17" s="1">
        <f t="shared" si="1"/>
        <v>80.158730158730165</v>
      </c>
      <c r="K17" s="1">
        <f t="shared" si="2"/>
        <v>-80.158730158730165</v>
      </c>
    </row>
    <row r="18" spans="1:19" x14ac:dyDescent="0.55000000000000004">
      <c r="A18" s="1">
        <v>2</v>
      </c>
      <c r="B18" s="1" t="s">
        <v>11</v>
      </c>
      <c r="C18" s="1" t="s">
        <v>28</v>
      </c>
      <c r="D18" s="1" t="s">
        <v>17</v>
      </c>
      <c r="F18" s="1">
        <v>77</v>
      </c>
      <c r="G18" s="1">
        <f t="shared" si="4"/>
        <v>-77</v>
      </c>
      <c r="H18" s="1">
        <v>72</v>
      </c>
      <c r="J18" s="1">
        <f t="shared" si="1"/>
        <v>93.506493506493499</v>
      </c>
      <c r="K18" s="1">
        <f t="shared" si="2"/>
        <v>-93.506493506493499</v>
      </c>
    </row>
    <row r="19" spans="1:19" x14ac:dyDescent="0.55000000000000004">
      <c r="A19" s="1">
        <v>2</v>
      </c>
      <c r="B19" s="1" t="s">
        <v>11</v>
      </c>
      <c r="C19" s="1" t="s">
        <v>28</v>
      </c>
      <c r="D19" s="1" t="s">
        <v>18</v>
      </c>
      <c r="F19" s="1">
        <v>33</v>
      </c>
      <c r="G19" s="1">
        <f t="shared" si="4"/>
        <v>-33</v>
      </c>
      <c r="H19" s="1">
        <v>23</v>
      </c>
      <c r="J19" s="1">
        <f t="shared" si="1"/>
        <v>69.696969696969703</v>
      </c>
      <c r="K19" s="1">
        <f t="shared" si="2"/>
        <v>-69.696969696969703</v>
      </c>
    </row>
    <row r="20" spans="1:19" x14ac:dyDescent="0.55000000000000004">
      <c r="A20" s="1">
        <v>2</v>
      </c>
      <c r="B20" s="1" t="s">
        <v>11</v>
      </c>
      <c r="C20" s="1" t="s">
        <v>28</v>
      </c>
      <c r="D20" s="1" t="s">
        <v>20</v>
      </c>
      <c r="F20" s="1">
        <v>0</v>
      </c>
      <c r="H20" s="1" t="s">
        <v>24</v>
      </c>
      <c r="J20" s="1" t="e">
        <f t="shared" si="1"/>
        <v>#VALUE!</v>
      </c>
      <c r="K20" s="1" t="e">
        <f t="shared" si="2"/>
        <v>#VALUE!</v>
      </c>
    </row>
    <row r="21" spans="1:19" x14ac:dyDescent="0.55000000000000004">
      <c r="A21" s="1">
        <v>2</v>
      </c>
      <c r="B21" s="1" t="s">
        <v>11</v>
      </c>
      <c r="C21" s="1" t="s">
        <v>28</v>
      </c>
      <c r="D21" s="1" t="s">
        <v>21</v>
      </c>
      <c r="F21" s="1">
        <v>117</v>
      </c>
      <c r="G21" s="1">
        <f>F21*-1</f>
        <v>-117</v>
      </c>
      <c r="H21" s="1">
        <v>71</v>
      </c>
      <c r="J21" s="1">
        <f t="shared" si="1"/>
        <v>60.683760683760681</v>
      </c>
      <c r="K21" s="1">
        <f t="shared" si="2"/>
        <v>-60.683760683760681</v>
      </c>
    </row>
    <row r="22" spans="1:19" x14ac:dyDescent="0.55000000000000004">
      <c r="A22" s="1">
        <v>2</v>
      </c>
      <c r="B22" s="1" t="s">
        <v>11</v>
      </c>
      <c r="C22" s="1" t="s">
        <v>28</v>
      </c>
      <c r="D22" s="1" t="s">
        <v>22</v>
      </c>
      <c r="F22" s="1">
        <v>0</v>
      </c>
      <c r="H22" s="1" t="s">
        <v>24</v>
      </c>
      <c r="J22" s="1" t="e">
        <f t="shared" si="1"/>
        <v>#VALUE!</v>
      </c>
      <c r="K22" s="1" t="e">
        <f t="shared" si="2"/>
        <v>#VALUE!</v>
      </c>
    </row>
    <row r="23" spans="1:19" x14ac:dyDescent="0.55000000000000004">
      <c r="A23" s="1">
        <v>2</v>
      </c>
      <c r="B23" s="1" t="s">
        <v>11</v>
      </c>
      <c r="C23" s="1" t="s">
        <v>29</v>
      </c>
      <c r="D23" s="1" t="s">
        <v>23</v>
      </c>
      <c r="F23" s="1">
        <v>48</v>
      </c>
      <c r="G23" s="1">
        <f t="shared" ref="G23:G26" si="5">F23*-1</f>
        <v>-48</v>
      </c>
      <c r="H23" s="1">
        <v>41</v>
      </c>
      <c r="J23" s="1">
        <f t="shared" si="1"/>
        <v>85.416666666666657</v>
      </c>
      <c r="K23" s="1">
        <f t="shared" si="2"/>
        <v>-85.416666666666657</v>
      </c>
      <c r="M23" s="1">
        <v>9</v>
      </c>
      <c r="P23" s="1">
        <v>9</v>
      </c>
      <c r="S23" s="1">
        <v>0</v>
      </c>
    </row>
    <row r="24" spans="1:19" x14ac:dyDescent="0.55000000000000004">
      <c r="A24" s="1">
        <v>2</v>
      </c>
      <c r="B24" s="1" t="s">
        <v>11</v>
      </c>
      <c r="C24" s="1" t="s">
        <v>29</v>
      </c>
      <c r="D24" s="1" t="s">
        <v>25</v>
      </c>
      <c r="F24" s="1">
        <v>68</v>
      </c>
      <c r="G24" s="1">
        <f t="shared" si="5"/>
        <v>-68</v>
      </c>
      <c r="H24" s="1">
        <v>56</v>
      </c>
      <c r="J24" s="1">
        <f t="shared" si="1"/>
        <v>82.35294117647058</v>
      </c>
      <c r="K24" s="1">
        <f t="shared" si="2"/>
        <v>-82.35294117647058</v>
      </c>
    </row>
    <row r="25" spans="1:19" x14ac:dyDescent="0.55000000000000004">
      <c r="A25" s="1">
        <v>2</v>
      </c>
      <c r="B25" s="1" t="s">
        <v>11</v>
      </c>
      <c r="C25" s="1" t="s">
        <v>29</v>
      </c>
      <c r="D25" s="1" t="s">
        <v>26</v>
      </c>
      <c r="F25" s="1">
        <v>63</v>
      </c>
      <c r="G25" s="1">
        <f t="shared" si="5"/>
        <v>-63</v>
      </c>
      <c r="H25" s="1">
        <v>48</v>
      </c>
      <c r="J25" s="1">
        <f t="shared" si="1"/>
        <v>76.19047619047619</v>
      </c>
      <c r="K25" s="1">
        <f t="shared" si="2"/>
        <v>-76.19047619047619</v>
      </c>
    </row>
    <row r="26" spans="1:19" x14ac:dyDescent="0.55000000000000004">
      <c r="A26" s="1">
        <v>3</v>
      </c>
      <c r="B26" s="1" t="s">
        <v>11</v>
      </c>
      <c r="C26" s="1" t="s">
        <v>29</v>
      </c>
      <c r="D26" s="1" t="s">
        <v>13</v>
      </c>
      <c r="F26" s="1">
        <v>85</v>
      </c>
      <c r="G26" s="1">
        <f t="shared" si="5"/>
        <v>-85</v>
      </c>
      <c r="H26" s="1">
        <v>67</v>
      </c>
      <c r="J26" s="1">
        <f t="shared" si="1"/>
        <v>78.82352941176471</v>
      </c>
      <c r="K26" s="1">
        <f t="shared" si="2"/>
        <v>-78.82352941176471</v>
      </c>
    </row>
    <row r="27" spans="1:19" x14ac:dyDescent="0.55000000000000004">
      <c r="A27" s="1">
        <v>3</v>
      </c>
      <c r="B27" s="1" t="s">
        <v>11</v>
      </c>
      <c r="C27" s="1" t="s">
        <v>29</v>
      </c>
      <c r="D27" s="1" t="s">
        <v>14</v>
      </c>
      <c r="F27" s="1">
        <v>0</v>
      </c>
      <c r="H27" s="1" t="s">
        <v>24</v>
      </c>
      <c r="J27" s="1" t="e">
        <f t="shared" si="1"/>
        <v>#VALUE!</v>
      </c>
      <c r="K27" s="1" t="e">
        <f t="shared" si="2"/>
        <v>#VALUE!</v>
      </c>
    </row>
    <row r="28" spans="1:19" x14ac:dyDescent="0.55000000000000004">
      <c r="A28" s="1">
        <v>3</v>
      </c>
      <c r="B28" s="1" t="s">
        <v>11</v>
      </c>
      <c r="C28" s="1" t="s">
        <v>29</v>
      </c>
      <c r="D28" s="1" t="s">
        <v>15</v>
      </c>
      <c r="F28" s="1">
        <v>0</v>
      </c>
      <c r="H28" s="1" t="s">
        <v>24</v>
      </c>
      <c r="J28" s="1" t="e">
        <f t="shared" si="1"/>
        <v>#VALUE!</v>
      </c>
      <c r="K28" s="1" t="e">
        <f t="shared" si="2"/>
        <v>#VALUE!</v>
      </c>
    </row>
    <row r="29" spans="1:19" x14ac:dyDescent="0.55000000000000004">
      <c r="A29" s="1">
        <v>3</v>
      </c>
      <c r="B29" s="1" t="s">
        <v>11</v>
      </c>
      <c r="C29" s="1" t="s">
        <v>29</v>
      </c>
      <c r="D29" s="1" t="s">
        <v>16</v>
      </c>
      <c r="F29" s="1">
        <v>114</v>
      </c>
      <c r="G29" s="1">
        <f t="shared" ref="G29:G31" si="6">F29*-1</f>
        <v>-114</v>
      </c>
      <c r="H29" s="1">
        <v>112</v>
      </c>
      <c r="J29" s="1">
        <f t="shared" si="1"/>
        <v>98.245614035087712</v>
      </c>
      <c r="K29" s="1">
        <f t="shared" si="2"/>
        <v>-98.245614035087712</v>
      </c>
    </row>
    <row r="30" spans="1:19" x14ac:dyDescent="0.55000000000000004">
      <c r="A30" s="1">
        <v>3</v>
      </c>
      <c r="B30" s="1" t="s">
        <v>11</v>
      </c>
      <c r="C30" s="1" t="s">
        <v>29</v>
      </c>
      <c r="D30" s="1" t="s">
        <v>17</v>
      </c>
      <c r="F30" s="1">
        <v>216</v>
      </c>
      <c r="G30" s="1">
        <f t="shared" si="6"/>
        <v>-216</v>
      </c>
      <c r="H30" s="1">
        <v>213</v>
      </c>
      <c r="J30" s="1">
        <f t="shared" si="1"/>
        <v>98.611111111111114</v>
      </c>
      <c r="K30" s="1">
        <f t="shared" si="2"/>
        <v>-98.611111111111114</v>
      </c>
    </row>
    <row r="31" spans="1:19" x14ac:dyDescent="0.55000000000000004">
      <c r="A31" s="1">
        <v>3</v>
      </c>
      <c r="B31" s="1" t="s">
        <v>11</v>
      </c>
      <c r="C31" s="1" t="s">
        <v>29</v>
      </c>
      <c r="D31" s="1" t="s">
        <v>18</v>
      </c>
      <c r="F31" s="1">
        <v>71</v>
      </c>
      <c r="G31" s="1">
        <f t="shared" si="6"/>
        <v>-71</v>
      </c>
      <c r="H31" s="1">
        <v>44</v>
      </c>
      <c r="J31" s="1">
        <f t="shared" si="1"/>
        <v>61.971830985915489</v>
      </c>
      <c r="K31" s="1">
        <f t="shared" si="2"/>
        <v>-61.971830985915489</v>
      </c>
    </row>
    <row r="32" spans="1:19" x14ac:dyDescent="0.55000000000000004">
      <c r="A32" s="1">
        <v>3</v>
      </c>
      <c r="B32" s="1" t="s">
        <v>11</v>
      </c>
      <c r="C32" s="1" t="s">
        <v>30</v>
      </c>
      <c r="D32" s="1" t="s">
        <v>20</v>
      </c>
      <c r="F32" s="1">
        <v>0</v>
      </c>
      <c r="H32" s="1" t="s">
        <v>24</v>
      </c>
      <c r="J32" s="1" t="e">
        <f t="shared" si="1"/>
        <v>#VALUE!</v>
      </c>
      <c r="K32" s="1" t="e">
        <f t="shared" si="2"/>
        <v>#VALUE!</v>
      </c>
      <c r="M32" s="1">
        <v>5</v>
      </c>
      <c r="P32" s="1">
        <v>7</v>
      </c>
      <c r="S32" s="1">
        <v>20</v>
      </c>
    </row>
    <row r="33" spans="1:19" x14ac:dyDescent="0.55000000000000004">
      <c r="A33" s="1">
        <v>3</v>
      </c>
      <c r="B33" s="1" t="s">
        <v>11</v>
      </c>
      <c r="C33" s="1" t="s">
        <v>30</v>
      </c>
      <c r="D33" s="1" t="s">
        <v>21</v>
      </c>
      <c r="F33" s="1">
        <v>0</v>
      </c>
      <c r="H33" s="1" t="s">
        <v>24</v>
      </c>
      <c r="J33" s="1" t="e">
        <f t="shared" si="1"/>
        <v>#VALUE!</v>
      </c>
      <c r="K33" s="1" t="e">
        <f t="shared" si="2"/>
        <v>#VALUE!</v>
      </c>
    </row>
    <row r="34" spans="1:19" x14ac:dyDescent="0.55000000000000004">
      <c r="A34" s="1">
        <v>3</v>
      </c>
      <c r="B34" s="1" t="s">
        <v>11</v>
      </c>
      <c r="C34" s="1" t="s">
        <v>30</v>
      </c>
      <c r="D34" s="1" t="s">
        <v>22</v>
      </c>
      <c r="F34" s="1">
        <v>0</v>
      </c>
      <c r="H34" s="1" t="s">
        <v>24</v>
      </c>
      <c r="J34" s="1" t="e">
        <f t="shared" si="1"/>
        <v>#VALUE!</v>
      </c>
      <c r="K34" s="1" t="e">
        <f t="shared" si="2"/>
        <v>#VALUE!</v>
      </c>
    </row>
    <row r="35" spans="1:19" x14ac:dyDescent="0.55000000000000004">
      <c r="A35" s="1">
        <v>3</v>
      </c>
      <c r="B35" s="1" t="s">
        <v>11</v>
      </c>
      <c r="C35" s="1" t="s">
        <v>30</v>
      </c>
      <c r="D35" s="1" t="s">
        <v>23</v>
      </c>
      <c r="F35" s="1">
        <v>59</v>
      </c>
      <c r="G35" s="1">
        <f>F35*-1</f>
        <v>-59</v>
      </c>
      <c r="H35" s="1">
        <v>5</v>
      </c>
      <c r="J35" s="1">
        <f t="shared" si="1"/>
        <v>8.4745762711864394</v>
      </c>
      <c r="K35" s="1">
        <f t="shared" si="2"/>
        <v>-8.4745762711864394</v>
      </c>
    </row>
    <row r="36" spans="1:19" x14ac:dyDescent="0.55000000000000004">
      <c r="A36" s="1">
        <v>3</v>
      </c>
      <c r="B36" s="1" t="s">
        <v>11</v>
      </c>
      <c r="C36" s="1" t="s">
        <v>30</v>
      </c>
      <c r="D36" s="1" t="s">
        <v>25</v>
      </c>
      <c r="F36" s="1">
        <v>0</v>
      </c>
      <c r="H36" s="1" t="s">
        <v>24</v>
      </c>
      <c r="J36" s="1" t="e">
        <f t="shared" si="1"/>
        <v>#VALUE!</v>
      </c>
      <c r="K36" s="1" t="e">
        <f t="shared" si="2"/>
        <v>#VALUE!</v>
      </c>
    </row>
    <row r="37" spans="1:19" x14ac:dyDescent="0.55000000000000004">
      <c r="A37" s="1">
        <v>4</v>
      </c>
      <c r="B37" s="1" t="s">
        <v>31</v>
      </c>
      <c r="C37" s="1" t="s">
        <v>12</v>
      </c>
      <c r="D37" s="1" t="s">
        <v>13</v>
      </c>
      <c r="F37" s="1">
        <v>142</v>
      </c>
      <c r="G37" s="1">
        <f>F37*-1</f>
        <v>-142</v>
      </c>
      <c r="H37" s="1">
        <v>135</v>
      </c>
      <c r="J37" s="1">
        <f t="shared" si="1"/>
        <v>95.070422535211264</v>
      </c>
      <c r="K37" s="1">
        <f t="shared" si="2"/>
        <v>-95.070422535211264</v>
      </c>
      <c r="M37" s="1">
        <v>9</v>
      </c>
      <c r="P37" s="1">
        <v>9</v>
      </c>
      <c r="S37" s="1">
        <v>0</v>
      </c>
    </row>
    <row r="38" spans="1:19" x14ac:dyDescent="0.55000000000000004">
      <c r="A38" s="1">
        <v>4</v>
      </c>
      <c r="B38" s="1" t="s">
        <v>31</v>
      </c>
      <c r="C38" s="1" t="s">
        <v>12</v>
      </c>
      <c r="D38" s="1" t="s">
        <v>14</v>
      </c>
      <c r="F38" s="1">
        <v>0</v>
      </c>
      <c r="H38" s="1" t="s">
        <v>24</v>
      </c>
      <c r="J38" s="1" t="e">
        <f t="shared" si="1"/>
        <v>#VALUE!</v>
      </c>
      <c r="K38" s="1" t="e">
        <f t="shared" si="2"/>
        <v>#VALUE!</v>
      </c>
    </row>
    <row r="39" spans="1:19" x14ac:dyDescent="0.55000000000000004">
      <c r="A39" s="1">
        <v>4</v>
      </c>
      <c r="B39" s="1" t="s">
        <v>31</v>
      </c>
      <c r="C39" s="1" t="s">
        <v>12</v>
      </c>
      <c r="D39" s="1" t="s">
        <v>15</v>
      </c>
      <c r="F39" s="1">
        <v>0</v>
      </c>
      <c r="H39" s="1" t="s">
        <v>24</v>
      </c>
      <c r="J39" s="1" t="e">
        <f t="shared" si="1"/>
        <v>#VALUE!</v>
      </c>
      <c r="K39" s="1" t="e">
        <f t="shared" si="2"/>
        <v>#VALUE!</v>
      </c>
    </row>
    <row r="40" spans="1:19" x14ac:dyDescent="0.55000000000000004">
      <c r="A40" s="1">
        <v>4</v>
      </c>
      <c r="B40" s="1" t="s">
        <v>31</v>
      </c>
      <c r="C40" s="1" t="s">
        <v>12</v>
      </c>
      <c r="D40" s="1" t="s">
        <v>16</v>
      </c>
      <c r="F40" s="1">
        <v>172</v>
      </c>
      <c r="G40" s="1">
        <f t="shared" ref="G40:G50" si="7">F40*-1</f>
        <v>-172</v>
      </c>
      <c r="H40" s="1">
        <v>165</v>
      </c>
      <c r="J40" s="1">
        <f t="shared" si="1"/>
        <v>95.930232558139537</v>
      </c>
      <c r="K40" s="1">
        <f t="shared" si="2"/>
        <v>-95.930232558139537</v>
      </c>
    </row>
    <row r="41" spans="1:19" x14ac:dyDescent="0.55000000000000004">
      <c r="A41" s="1">
        <v>4</v>
      </c>
      <c r="B41" s="1" t="s">
        <v>31</v>
      </c>
      <c r="C41" s="1" t="s">
        <v>12</v>
      </c>
      <c r="D41" s="1" t="s">
        <v>17</v>
      </c>
      <c r="F41" s="1">
        <v>74</v>
      </c>
      <c r="G41" s="1">
        <f t="shared" si="7"/>
        <v>-74</v>
      </c>
      <c r="H41" s="1">
        <v>61</v>
      </c>
      <c r="J41" s="1">
        <f t="shared" si="1"/>
        <v>82.432432432432435</v>
      </c>
      <c r="K41" s="1">
        <f t="shared" si="2"/>
        <v>-82.432432432432435</v>
      </c>
    </row>
    <row r="42" spans="1:19" x14ac:dyDescent="0.55000000000000004">
      <c r="A42" s="1">
        <v>4</v>
      </c>
      <c r="B42" s="1" t="s">
        <v>31</v>
      </c>
      <c r="C42" s="1" t="s">
        <v>12</v>
      </c>
      <c r="D42" s="1" t="s">
        <v>18</v>
      </c>
      <c r="F42" s="1">
        <v>112</v>
      </c>
      <c r="G42" s="1">
        <f t="shared" si="7"/>
        <v>-112</v>
      </c>
      <c r="H42" s="1">
        <v>86</v>
      </c>
      <c r="J42" s="1">
        <f t="shared" si="1"/>
        <v>76.785714285714292</v>
      </c>
      <c r="K42" s="1">
        <f t="shared" si="2"/>
        <v>-76.785714285714292</v>
      </c>
    </row>
    <row r="43" spans="1:19" x14ac:dyDescent="0.55000000000000004">
      <c r="A43" s="1">
        <v>4</v>
      </c>
      <c r="B43" s="1" t="s">
        <v>31</v>
      </c>
      <c r="C43" s="1" t="s">
        <v>12</v>
      </c>
      <c r="D43" s="1" t="s">
        <v>20</v>
      </c>
      <c r="F43" s="1">
        <v>94</v>
      </c>
      <c r="G43" s="1">
        <f t="shared" si="7"/>
        <v>-94</v>
      </c>
      <c r="H43" s="1">
        <v>82</v>
      </c>
      <c r="J43" s="1">
        <f t="shared" si="1"/>
        <v>87.2340425531915</v>
      </c>
      <c r="K43" s="1">
        <f t="shared" si="2"/>
        <v>-87.2340425531915</v>
      </c>
    </row>
    <row r="44" spans="1:19" x14ac:dyDescent="0.55000000000000004">
      <c r="A44" s="1">
        <v>4</v>
      </c>
      <c r="B44" s="1" t="s">
        <v>31</v>
      </c>
      <c r="C44" s="1" t="s">
        <v>12</v>
      </c>
      <c r="D44" s="1" t="s">
        <v>21</v>
      </c>
      <c r="F44" s="1">
        <v>203</v>
      </c>
      <c r="G44" s="1">
        <f t="shared" si="7"/>
        <v>-203</v>
      </c>
      <c r="H44" s="1">
        <v>103</v>
      </c>
      <c r="J44" s="1">
        <f t="shared" si="1"/>
        <v>50.738916256157637</v>
      </c>
      <c r="K44" s="1">
        <f t="shared" si="2"/>
        <v>-50.738916256157637</v>
      </c>
    </row>
    <row r="45" spans="1:19" x14ac:dyDescent="0.55000000000000004">
      <c r="A45" s="1">
        <v>4</v>
      </c>
      <c r="B45" s="1" t="s">
        <v>31</v>
      </c>
      <c r="C45" s="1" t="s">
        <v>12</v>
      </c>
      <c r="D45" s="1" t="s">
        <v>22</v>
      </c>
      <c r="F45" s="1">
        <v>115</v>
      </c>
      <c r="G45" s="1">
        <f t="shared" si="7"/>
        <v>-115</v>
      </c>
      <c r="H45" s="1">
        <v>101</v>
      </c>
      <c r="J45" s="1">
        <f t="shared" si="1"/>
        <v>87.826086956521749</v>
      </c>
      <c r="K45" s="1">
        <f t="shared" si="2"/>
        <v>-87.826086956521749</v>
      </c>
    </row>
    <row r="46" spans="1:19" x14ac:dyDescent="0.55000000000000004">
      <c r="A46" s="1">
        <v>4</v>
      </c>
      <c r="B46" s="1" t="s">
        <v>31</v>
      </c>
      <c r="C46" s="1" t="s">
        <v>19</v>
      </c>
      <c r="D46" s="1" t="s">
        <v>23</v>
      </c>
      <c r="F46" s="1">
        <v>47</v>
      </c>
      <c r="G46" s="1">
        <f t="shared" si="7"/>
        <v>-47</v>
      </c>
      <c r="H46" s="1">
        <v>33</v>
      </c>
      <c r="J46" s="1">
        <f t="shared" si="1"/>
        <v>70.212765957446805</v>
      </c>
      <c r="K46" s="1">
        <f t="shared" si="2"/>
        <v>-70.212765957446805</v>
      </c>
      <c r="M46" s="1">
        <v>7</v>
      </c>
      <c r="P46" s="1">
        <v>9</v>
      </c>
      <c r="S46" s="1">
        <v>20</v>
      </c>
    </row>
    <row r="47" spans="1:19" x14ac:dyDescent="0.55000000000000004">
      <c r="A47" s="1">
        <v>4</v>
      </c>
      <c r="B47" s="1" t="s">
        <v>31</v>
      </c>
      <c r="C47" s="1" t="s">
        <v>19</v>
      </c>
      <c r="D47" s="1" t="s">
        <v>25</v>
      </c>
      <c r="F47" s="1">
        <v>120</v>
      </c>
      <c r="G47" s="1">
        <f t="shared" si="7"/>
        <v>-120</v>
      </c>
      <c r="H47" s="1">
        <v>119</v>
      </c>
      <c r="J47" s="1">
        <f t="shared" si="1"/>
        <v>99.166666666666671</v>
      </c>
      <c r="K47" s="1">
        <f t="shared" si="2"/>
        <v>-99.166666666666671</v>
      </c>
    </row>
    <row r="48" spans="1:19" x14ac:dyDescent="0.55000000000000004">
      <c r="A48" s="1">
        <v>4</v>
      </c>
      <c r="B48" s="1" t="s">
        <v>31</v>
      </c>
      <c r="C48" s="1" t="s">
        <v>19</v>
      </c>
      <c r="D48" s="1" t="s">
        <v>26</v>
      </c>
      <c r="F48" s="1">
        <v>82</v>
      </c>
      <c r="G48" s="1">
        <f t="shared" si="7"/>
        <v>-82</v>
      </c>
      <c r="H48" s="1">
        <v>71</v>
      </c>
      <c r="J48" s="1">
        <f t="shared" si="1"/>
        <v>86.58536585365853</v>
      </c>
      <c r="K48" s="1">
        <f t="shared" si="2"/>
        <v>-86.58536585365853</v>
      </c>
    </row>
    <row r="49" spans="1:19" x14ac:dyDescent="0.55000000000000004">
      <c r="A49" s="1">
        <v>5</v>
      </c>
      <c r="B49" s="1" t="s">
        <v>31</v>
      </c>
      <c r="C49" s="1" t="s">
        <v>19</v>
      </c>
      <c r="D49" s="1" t="s">
        <v>13</v>
      </c>
      <c r="F49" s="1">
        <v>62</v>
      </c>
      <c r="G49" s="1">
        <f t="shared" si="7"/>
        <v>-62</v>
      </c>
      <c r="H49" s="1">
        <v>36</v>
      </c>
      <c r="J49" s="1">
        <f t="shared" si="1"/>
        <v>58.064516129032263</v>
      </c>
      <c r="K49" s="1">
        <f t="shared" si="2"/>
        <v>-58.064516129032263</v>
      </c>
    </row>
    <row r="50" spans="1:19" x14ac:dyDescent="0.55000000000000004">
      <c r="A50" s="1">
        <v>5</v>
      </c>
      <c r="B50" s="1" t="s">
        <v>31</v>
      </c>
      <c r="C50" s="1" t="s">
        <v>19</v>
      </c>
      <c r="D50" s="1" t="s">
        <v>14</v>
      </c>
      <c r="F50" s="1">
        <v>64</v>
      </c>
      <c r="G50" s="1">
        <f t="shared" si="7"/>
        <v>-64</v>
      </c>
      <c r="H50" s="1">
        <v>58</v>
      </c>
      <c r="J50" s="1">
        <f t="shared" si="1"/>
        <v>90.625</v>
      </c>
      <c r="K50" s="1">
        <f t="shared" si="2"/>
        <v>-90.625</v>
      </c>
    </row>
    <row r="51" spans="1:19" x14ac:dyDescent="0.55000000000000004">
      <c r="A51" s="1">
        <v>5</v>
      </c>
      <c r="B51" s="1" t="s">
        <v>31</v>
      </c>
      <c r="C51" s="1" t="s">
        <v>19</v>
      </c>
      <c r="D51" s="1" t="s">
        <v>15</v>
      </c>
      <c r="F51" s="1">
        <v>0</v>
      </c>
      <c r="H51" s="1" t="s">
        <v>24</v>
      </c>
      <c r="J51" s="1" t="e">
        <f t="shared" si="1"/>
        <v>#VALUE!</v>
      </c>
      <c r="K51" s="1" t="e">
        <f t="shared" si="2"/>
        <v>#VALUE!</v>
      </c>
    </row>
    <row r="52" spans="1:19" x14ac:dyDescent="0.55000000000000004">
      <c r="A52" s="1">
        <v>5</v>
      </c>
      <c r="B52" s="1" t="s">
        <v>31</v>
      </c>
      <c r="C52" s="1" t="s">
        <v>19</v>
      </c>
      <c r="D52" s="1" t="s">
        <v>16</v>
      </c>
      <c r="F52" s="1">
        <v>0</v>
      </c>
      <c r="H52" s="1" t="s">
        <v>24</v>
      </c>
      <c r="J52" s="1" t="e">
        <f t="shared" si="1"/>
        <v>#VALUE!</v>
      </c>
      <c r="K52" s="1" t="e">
        <f t="shared" si="2"/>
        <v>#VALUE!</v>
      </c>
    </row>
    <row r="53" spans="1:19" x14ac:dyDescent="0.55000000000000004">
      <c r="A53" s="1">
        <v>5</v>
      </c>
      <c r="B53" s="1" t="s">
        <v>31</v>
      </c>
      <c r="C53" s="1" t="s">
        <v>28</v>
      </c>
      <c r="D53" s="1" t="s">
        <v>17</v>
      </c>
      <c r="F53" s="1">
        <v>77</v>
      </c>
      <c r="G53" s="1">
        <f>F53*-1</f>
        <v>-77</v>
      </c>
      <c r="H53" s="1">
        <v>74</v>
      </c>
      <c r="J53" s="1">
        <f t="shared" si="1"/>
        <v>96.103896103896105</v>
      </c>
      <c r="K53" s="1">
        <f t="shared" si="2"/>
        <v>-96.103896103896105</v>
      </c>
      <c r="M53" s="1">
        <v>10</v>
      </c>
      <c r="P53" s="1">
        <v>10</v>
      </c>
      <c r="S53" s="1">
        <v>0</v>
      </c>
    </row>
    <row r="54" spans="1:19" x14ac:dyDescent="0.55000000000000004">
      <c r="A54" s="1">
        <v>5</v>
      </c>
      <c r="B54" s="1" t="s">
        <v>31</v>
      </c>
      <c r="C54" s="1" t="s">
        <v>28</v>
      </c>
      <c r="D54" s="1" t="s">
        <v>18</v>
      </c>
      <c r="F54" s="1">
        <v>0</v>
      </c>
      <c r="H54" s="1" t="s">
        <v>24</v>
      </c>
      <c r="J54" s="1" t="e">
        <f t="shared" si="1"/>
        <v>#VALUE!</v>
      </c>
      <c r="K54" s="1" t="e">
        <f t="shared" si="2"/>
        <v>#VALUE!</v>
      </c>
    </row>
    <row r="55" spans="1:19" x14ac:dyDescent="0.55000000000000004">
      <c r="A55" s="1">
        <v>5</v>
      </c>
      <c r="B55" s="1" t="s">
        <v>31</v>
      </c>
      <c r="C55" s="1" t="s">
        <v>28</v>
      </c>
      <c r="D55" s="1" t="s">
        <v>20</v>
      </c>
      <c r="F55" s="1">
        <v>74</v>
      </c>
      <c r="G55" s="1">
        <f t="shared" ref="G55:G56" si="8">F55*-1</f>
        <v>-74</v>
      </c>
      <c r="H55" s="1">
        <v>67</v>
      </c>
      <c r="J55" s="1">
        <f t="shared" si="1"/>
        <v>90.540540540540533</v>
      </c>
      <c r="K55" s="1">
        <f t="shared" si="2"/>
        <v>-90.540540540540533</v>
      </c>
    </row>
    <row r="56" spans="1:19" x14ac:dyDescent="0.55000000000000004">
      <c r="A56" s="1">
        <v>5</v>
      </c>
      <c r="B56" s="1" t="s">
        <v>31</v>
      </c>
      <c r="C56" s="1" t="s">
        <v>28</v>
      </c>
      <c r="D56" s="1" t="s">
        <v>21</v>
      </c>
      <c r="F56" s="1">
        <v>70</v>
      </c>
      <c r="G56" s="1">
        <f t="shared" si="8"/>
        <v>-70</v>
      </c>
      <c r="H56" s="1">
        <v>70</v>
      </c>
      <c r="J56" s="1">
        <f t="shared" si="1"/>
        <v>100</v>
      </c>
      <c r="K56" s="1">
        <f t="shared" si="2"/>
        <v>-100</v>
      </c>
    </row>
    <row r="57" spans="1:19" x14ac:dyDescent="0.55000000000000004">
      <c r="A57" s="1">
        <v>5</v>
      </c>
      <c r="B57" s="1" t="s">
        <v>31</v>
      </c>
      <c r="C57" s="1" t="s">
        <v>28</v>
      </c>
      <c r="D57" s="1" t="s">
        <v>22</v>
      </c>
      <c r="F57" s="1">
        <v>0</v>
      </c>
      <c r="H57" s="1" t="s">
        <v>24</v>
      </c>
      <c r="J57" s="1" t="e">
        <f t="shared" si="1"/>
        <v>#VALUE!</v>
      </c>
      <c r="K57" s="1" t="e">
        <f t="shared" si="2"/>
        <v>#VALUE!</v>
      </c>
    </row>
    <row r="58" spans="1:19" x14ac:dyDescent="0.55000000000000004">
      <c r="A58" s="1">
        <v>5</v>
      </c>
      <c r="B58" s="1" t="s">
        <v>31</v>
      </c>
      <c r="C58" s="1" t="s">
        <v>28</v>
      </c>
      <c r="D58" s="1" t="s">
        <v>23</v>
      </c>
      <c r="F58" s="1">
        <v>98</v>
      </c>
      <c r="G58" s="1">
        <f>F58*-1</f>
        <v>-98</v>
      </c>
      <c r="H58" s="1">
        <v>88</v>
      </c>
      <c r="J58" s="1">
        <f t="shared" si="1"/>
        <v>89.795918367346943</v>
      </c>
      <c r="K58" s="1">
        <f t="shared" si="2"/>
        <v>-89.795918367346943</v>
      </c>
    </row>
    <row r="59" spans="1:19" x14ac:dyDescent="0.55000000000000004">
      <c r="A59" s="1">
        <v>5</v>
      </c>
      <c r="B59" s="1" t="s">
        <v>31</v>
      </c>
      <c r="C59" s="1" t="s">
        <v>28</v>
      </c>
      <c r="D59" s="1" t="s">
        <v>25</v>
      </c>
      <c r="F59" s="1">
        <v>0</v>
      </c>
      <c r="H59" s="1" t="s">
        <v>24</v>
      </c>
      <c r="J59" s="1" t="e">
        <f t="shared" si="1"/>
        <v>#VALUE!</v>
      </c>
      <c r="K59" s="1" t="e">
        <f t="shared" si="2"/>
        <v>#VALUE!</v>
      </c>
    </row>
    <row r="60" spans="1:19" x14ac:dyDescent="0.55000000000000004">
      <c r="A60" s="1">
        <v>5</v>
      </c>
      <c r="B60" s="1" t="s">
        <v>31</v>
      </c>
      <c r="C60" s="1" t="s">
        <v>28</v>
      </c>
      <c r="D60" s="1" t="s">
        <v>26</v>
      </c>
      <c r="F60" s="1">
        <v>84</v>
      </c>
      <c r="G60" s="1">
        <f>F60*-1</f>
        <v>-84</v>
      </c>
      <c r="H60" s="1">
        <v>78</v>
      </c>
      <c r="J60" s="1">
        <f t="shared" si="1"/>
        <v>92.857142857142861</v>
      </c>
      <c r="K60" s="1">
        <f t="shared" si="2"/>
        <v>-92.857142857142861</v>
      </c>
    </row>
    <row r="61" spans="1:19" x14ac:dyDescent="0.55000000000000004">
      <c r="A61" s="1">
        <v>6</v>
      </c>
      <c r="B61" s="1" t="s">
        <v>31</v>
      </c>
      <c r="C61" s="1" t="s">
        <v>28</v>
      </c>
      <c r="D61" s="1" t="s">
        <v>13</v>
      </c>
      <c r="F61" s="1">
        <v>0</v>
      </c>
      <c r="H61" s="1" t="s">
        <v>24</v>
      </c>
      <c r="J61" s="1" t="e">
        <f t="shared" si="1"/>
        <v>#VALUE!</v>
      </c>
      <c r="K61" s="1" t="e">
        <f t="shared" si="2"/>
        <v>#VALUE!</v>
      </c>
    </row>
    <row r="62" spans="1:19" x14ac:dyDescent="0.55000000000000004">
      <c r="A62" s="1">
        <v>6</v>
      </c>
      <c r="B62" s="1" t="s">
        <v>31</v>
      </c>
      <c r="C62" s="1" t="s">
        <v>28</v>
      </c>
      <c r="D62" s="1" t="s">
        <v>14</v>
      </c>
      <c r="F62" s="1">
        <v>155</v>
      </c>
      <c r="G62" s="1">
        <f>F62*-1</f>
        <v>-155</v>
      </c>
      <c r="H62" s="1">
        <v>109</v>
      </c>
      <c r="J62" s="1">
        <f t="shared" si="1"/>
        <v>70.322580645161295</v>
      </c>
      <c r="K62" s="1">
        <f t="shared" si="2"/>
        <v>-70.322580645161295</v>
      </c>
    </row>
    <row r="63" spans="1:19" x14ac:dyDescent="0.55000000000000004">
      <c r="A63" s="1">
        <v>6</v>
      </c>
      <c r="B63" s="1" t="s">
        <v>31</v>
      </c>
      <c r="C63" s="1" t="s">
        <v>29</v>
      </c>
      <c r="D63" s="1" t="s">
        <v>15</v>
      </c>
      <c r="F63" s="1">
        <v>0</v>
      </c>
      <c r="H63" s="1" t="s">
        <v>24</v>
      </c>
      <c r="J63" s="1" t="e">
        <f t="shared" si="1"/>
        <v>#VALUE!</v>
      </c>
      <c r="K63" s="1" t="e">
        <f t="shared" si="2"/>
        <v>#VALUE!</v>
      </c>
      <c r="M63" s="1">
        <v>3</v>
      </c>
      <c r="P63" s="1">
        <v>8</v>
      </c>
      <c r="S63" s="1">
        <v>50</v>
      </c>
    </row>
    <row r="64" spans="1:19" x14ac:dyDescent="0.55000000000000004">
      <c r="A64" s="1">
        <v>6</v>
      </c>
      <c r="B64" s="1" t="s">
        <v>31</v>
      </c>
      <c r="C64" s="1" t="s">
        <v>29</v>
      </c>
      <c r="D64" s="1" t="s">
        <v>16</v>
      </c>
      <c r="F64" s="1">
        <v>2</v>
      </c>
      <c r="G64" s="1">
        <f t="shared" ref="G64:G69" si="9">F64*-1</f>
        <v>-2</v>
      </c>
      <c r="H64" s="1">
        <v>1</v>
      </c>
      <c r="J64" s="1">
        <f t="shared" si="1"/>
        <v>50</v>
      </c>
      <c r="K64" s="1">
        <f t="shared" si="2"/>
        <v>-50</v>
      </c>
    </row>
    <row r="65" spans="1:19" x14ac:dyDescent="0.55000000000000004">
      <c r="A65" s="1">
        <v>6</v>
      </c>
      <c r="B65" s="1" t="s">
        <v>31</v>
      </c>
      <c r="C65" s="1" t="s">
        <v>29</v>
      </c>
      <c r="D65" s="1" t="s">
        <v>17</v>
      </c>
      <c r="F65" s="1">
        <v>50</v>
      </c>
      <c r="G65" s="1">
        <f t="shared" si="9"/>
        <v>-50</v>
      </c>
      <c r="H65" s="1">
        <v>48</v>
      </c>
      <c r="J65" s="1">
        <f t="shared" si="1"/>
        <v>96</v>
      </c>
      <c r="K65" s="1">
        <f t="shared" si="2"/>
        <v>-96</v>
      </c>
    </row>
    <row r="66" spans="1:19" x14ac:dyDescent="0.55000000000000004">
      <c r="A66" s="1">
        <v>6</v>
      </c>
      <c r="B66" s="1" t="s">
        <v>31</v>
      </c>
      <c r="C66" s="1" t="s">
        <v>30</v>
      </c>
      <c r="D66" s="1" t="s">
        <v>18</v>
      </c>
      <c r="F66" s="1">
        <v>93</v>
      </c>
      <c r="G66" s="1">
        <f t="shared" si="9"/>
        <v>-93</v>
      </c>
      <c r="H66" s="1">
        <v>90</v>
      </c>
      <c r="J66" s="1">
        <f t="shared" si="1"/>
        <v>96.774193548387103</v>
      </c>
      <c r="K66" s="1">
        <f t="shared" si="2"/>
        <v>-96.774193548387103</v>
      </c>
      <c r="M66" s="1">
        <v>10</v>
      </c>
      <c r="P66" s="1">
        <v>10</v>
      </c>
      <c r="S66" s="1">
        <v>0</v>
      </c>
    </row>
    <row r="67" spans="1:19" x14ac:dyDescent="0.55000000000000004">
      <c r="A67" s="1">
        <v>6</v>
      </c>
      <c r="B67" s="1" t="s">
        <v>31</v>
      </c>
      <c r="C67" s="1" t="s">
        <v>30</v>
      </c>
      <c r="D67" s="1" t="s">
        <v>20</v>
      </c>
      <c r="F67" s="1">
        <v>83</v>
      </c>
      <c r="G67" s="1">
        <f t="shared" si="9"/>
        <v>-83</v>
      </c>
      <c r="H67" s="1">
        <v>72</v>
      </c>
      <c r="J67" s="1">
        <f t="shared" si="1"/>
        <v>86.746987951807228</v>
      </c>
      <c r="K67" s="1">
        <f t="shared" si="2"/>
        <v>-86.746987951807228</v>
      </c>
    </row>
    <row r="68" spans="1:19" x14ac:dyDescent="0.55000000000000004">
      <c r="A68" s="1">
        <v>6</v>
      </c>
      <c r="B68" s="1" t="s">
        <v>31</v>
      </c>
      <c r="C68" s="1" t="s">
        <v>30</v>
      </c>
      <c r="D68" s="1" t="s">
        <v>21</v>
      </c>
      <c r="F68" s="1">
        <v>99</v>
      </c>
      <c r="G68" s="1">
        <f t="shared" si="9"/>
        <v>-99</v>
      </c>
      <c r="H68" s="1">
        <v>79</v>
      </c>
      <c r="J68" s="1">
        <f t="shared" si="1"/>
        <v>79.797979797979806</v>
      </c>
      <c r="K68" s="1">
        <f t="shared" si="2"/>
        <v>-79.797979797979806</v>
      </c>
    </row>
    <row r="69" spans="1:19" x14ac:dyDescent="0.55000000000000004">
      <c r="A69" s="1">
        <v>6</v>
      </c>
      <c r="B69" s="1" t="s">
        <v>31</v>
      </c>
      <c r="C69" s="1" t="s">
        <v>30</v>
      </c>
      <c r="D69" s="1" t="s">
        <v>22</v>
      </c>
      <c r="F69" s="1">
        <v>91</v>
      </c>
      <c r="G69" s="1">
        <f t="shared" si="9"/>
        <v>-91</v>
      </c>
      <c r="H69" s="1">
        <v>86</v>
      </c>
      <c r="J69" s="1">
        <f t="shared" si="1"/>
        <v>94.505494505494497</v>
      </c>
      <c r="K69" s="1">
        <f t="shared" si="2"/>
        <v>-94.505494505494497</v>
      </c>
    </row>
    <row r="70" spans="1:19" x14ac:dyDescent="0.55000000000000004">
      <c r="A70" s="1">
        <v>6</v>
      </c>
      <c r="B70" s="1" t="s">
        <v>31</v>
      </c>
      <c r="C70" s="1" t="s">
        <v>30</v>
      </c>
      <c r="D70" s="1" t="s">
        <v>23</v>
      </c>
      <c r="F70" s="1">
        <v>0</v>
      </c>
      <c r="H70" s="1" t="s">
        <v>24</v>
      </c>
      <c r="J70" s="1" t="e">
        <f t="shared" si="1"/>
        <v>#VALUE!</v>
      </c>
      <c r="K70" s="1" t="e">
        <f t="shared" si="2"/>
        <v>#VALUE!</v>
      </c>
    </row>
    <row r="71" spans="1:19" x14ac:dyDescent="0.55000000000000004">
      <c r="A71" s="1">
        <v>6</v>
      </c>
      <c r="B71" s="1" t="s">
        <v>31</v>
      </c>
      <c r="C71" s="1" t="s">
        <v>30</v>
      </c>
      <c r="D71" s="1" t="s">
        <v>25</v>
      </c>
      <c r="F71" s="1">
        <v>80</v>
      </c>
      <c r="G71" s="1">
        <f t="shared" ref="G71:G78" si="10">F71*-1</f>
        <v>-80</v>
      </c>
      <c r="H71" s="1">
        <v>56</v>
      </c>
      <c r="J71" s="1">
        <f t="shared" si="1"/>
        <v>70</v>
      </c>
      <c r="K71" s="1">
        <f t="shared" si="2"/>
        <v>-70</v>
      </c>
    </row>
    <row r="72" spans="1:19" x14ac:dyDescent="0.55000000000000004">
      <c r="A72" s="1">
        <v>6</v>
      </c>
      <c r="B72" s="1" t="s">
        <v>31</v>
      </c>
      <c r="C72" s="1" t="s">
        <v>30</v>
      </c>
      <c r="D72" s="1" t="s">
        <v>26</v>
      </c>
      <c r="F72" s="1">
        <v>18</v>
      </c>
      <c r="G72" s="1">
        <f t="shared" si="10"/>
        <v>-18</v>
      </c>
      <c r="H72" s="1">
        <v>11</v>
      </c>
      <c r="J72" s="1">
        <f t="shared" si="1"/>
        <v>61.111111111111114</v>
      </c>
      <c r="K72" s="1">
        <f t="shared" si="2"/>
        <v>-61.111111111111114</v>
      </c>
    </row>
    <row r="73" spans="1:19" x14ac:dyDescent="0.55000000000000004">
      <c r="A73" s="1">
        <v>7</v>
      </c>
      <c r="B73" s="1" t="s">
        <v>31</v>
      </c>
      <c r="C73" s="1" t="s">
        <v>30</v>
      </c>
      <c r="D73" s="1" t="s">
        <v>13</v>
      </c>
      <c r="F73" s="1">
        <v>77</v>
      </c>
      <c r="G73" s="1">
        <f t="shared" si="10"/>
        <v>-77</v>
      </c>
      <c r="H73" s="1">
        <v>67</v>
      </c>
      <c r="J73" s="1">
        <f t="shared" si="1"/>
        <v>87.012987012987011</v>
      </c>
      <c r="K73" s="1">
        <f t="shared" si="2"/>
        <v>-87.012987012987011</v>
      </c>
    </row>
    <row r="74" spans="1:19" x14ac:dyDescent="0.55000000000000004">
      <c r="A74" s="1">
        <v>7</v>
      </c>
      <c r="B74" s="1" t="s">
        <v>31</v>
      </c>
      <c r="C74" s="1" t="s">
        <v>30</v>
      </c>
      <c r="D74" s="1" t="s">
        <v>14</v>
      </c>
      <c r="F74" s="1">
        <v>29</v>
      </c>
      <c r="G74" s="1">
        <f t="shared" si="10"/>
        <v>-29</v>
      </c>
      <c r="H74" s="1">
        <v>26</v>
      </c>
      <c r="J74" s="1">
        <f t="shared" si="1"/>
        <v>89.65517241379311</v>
      </c>
      <c r="K74" s="1">
        <f t="shared" si="2"/>
        <v>-89.65517241379311</v>
      </c>
    </row>
    <row r="75" spans="1:19" x14ac:dyDescent="0.55000000000000004">
      <c r="A75" s="1">
        <v>7</v>
      </c>
      <c r="B75" s="1" t="s">
        <v>31</v>
      </c>
      <c r="C75" s="1" t="s">
        <v>30</v>
      </c>
      <c r="D75" s="1" t="s">
        <v>15</v>
      </c>
      <c r="F75" s="1">
        <v>136</v>
      </c>
      <c r="G75" s="1">
        <f t="shared" si="10"/>
        <v>-136</v>
      </c>
      <c r="H75" s="1">
        <v>133</v>
      </c>
      <c r="J75" s="1">
        <f t="shared" si="1"/>
        <v>97.794117647058826</v>
      </c>
      <c r="K75" s="1">
        <f t="shared" si="2"/>
        <v>-97.794117647058826</v>
      </c>
    </row>
    <row r="76" spans="1:19" x14ac:dyDescent="0.55000000000000004">
      <c r="A76" s="1">
        <v>7</v>
      </c>
      <c r="B76" s="1" t="s">
        <v>32</v>
      </c>
      <c r="C76" s="1" t="s">
        <v>12</v>
      </c>
      <c r="D76" s="1" t="s">
        <v>16</v>
      </c>
      <c r="F76" s="1">
        <v>83</v>
      </c>
      <c r="G76" s="1">
        <f t="shared" si="10"/>
        <v>-83</v>
      </c>
      <c r="H76" s="1">
        <v>77</v>
      </c>
      <c r="J76" s="1">
        <f t="shared" si="1"/>
        <v>92.771084337349393</v>
      </c>
      <c r="K76" s="1">
        <f t="shared" si="2"/>
        <v>-92.771084337349393</v>
      </c>
      <c r="M76" s="1">
        <v>10</v>
      </c>
      <c r="P76" s="1">
        <v>10</v>
      </c>
      <c r="S76" s="1">
        <v>0</v>
      </c>
    </row>
    <row r="77" spans="1:19" x14ac:dyDescent="0.55000000000000004">
      <c r="A77" s="1">
        <v>7</v>
      </c>
      <c r="B77" s="1" t="s">
        <v>32</v>
      </c>
      <c r="C77" s="1" t="s">
        <v>12</v>
      </c>
      <c r="D77" s="1" t="s">
        <v>17</v>
      </c>
      <c r="F77" s="1">
        <v>61</v>
      </c>
      <c r="G77" s="1">
        <f t="shared" si="10"/>
        <v>-61</v>
      </c>
      <c r="H77" s="1">
        <v>60</v>
      </c>
      <c r="J77" s="1">
        <f t="shared" si="1"/>
        <v>98.360655737704917</v>
      </c>
      <c r="K77" s="1">
        <f t="shared" si="2"/>
        <v>-98.360655737704917</v>
      </c>
    </row>
    <row r="78" spans="1:19" x14ac:dyDescent="0.55000000000000004">
      <c r="A78" s="1">
        <v>7</v>
      </c>
      <c r="B78" s="1" t="s">
        <v>32</v>
      </c>
      <c r="C78" s="1" t="s">
        <v>12</v>
      </c>
      <c r="D78" s="1" t="s">
        <v>18</v>
      </c>
      <c r="F78" s="1">
        <v>113</v>
      </c>
      <c r="G78" s="1">
        <f t="shared" si="10"/>
        <v>-113</v>
      </c>
      <c r="H78" s="1">
        <v>103</v>
      </c>
      <c r="J78" s="1">
        <f t="shared" si="1"/>
        <v>91.150442477876098</v>
      </c>
      <c r="K78" s="1">
        <f t="shared" si="2"/>
        <v>-91.150442477876098</v>
      </c>
    </row>
    <row r="79" spans="1:19" x14ac:dyDescent="0.55000000000000004">
      <c r="A79" s="1">
        <v>7</v>
      </c>
      <c r="B79" s="1" t="s">
        <v>32</v>
      </c>
      <c r="C79" s="1" t="s">
        <v>12</v>
      </c>
      <c r="D79" s="1" t="s">
        <v>20</v>
      </c>
      <c r="F79" s="1">
        <v>0</v>
      </c>
      <c r="H79" s="1" t="s">
        <v>24</v>
      </c>
      <c r="J79" s="1" t="e">
        <f t="shared" si="1"/>
        <v>#VALUE!</v>
      </c>
      <c r="K79" s="1" t="e">
        <f t="shared" si="2"/>
        <v>#VALUE!</v>
      </c>
    </row>
    <row r="80" spans="1:19" x14ac:dyDescent="0.55000000000000004">
      <c r="A80" s="1">
        <v>7</v>
      </c>
      <c r="B80" s="1" t="s">
        <v>32</v>
      </c>
      <c r="C80" s="1" t="s">
        <v>12</v>
      </c>
      <c r="D80" s="1" t="s">
        <v>21</v>
      </c>
      <c r="F80" s="1">
        <v>131</v>
      </c>
      <c r="G80" s="1">
        <f t="shared" ref="G80:G100" si="11">F80*-1</f>
        <v>-131</v>
      </c>
      <c r="H80" s="1">
        <v>82</v>
      </c>
      <c r="J80" s="1">
        <f t="shared" si="1"/>
        <v>62.595419847328252</v>
      </c>
      <c r="K80" s="1">
        <f t="shared" si="2"/>
        <v>-62.595419847328252</v>
      </c>
    </row>
    <row r="81" spans="1:19" x14ac:dyDescent="0.55000000000000004">
      <c r="A81" s="1">
        <v>7</v>
      </c>
      <c r="B81" s="1" t="s">
        <v>32</v>
      </c>
      <c r="C81" s="1" t="s">
        <v>12</v>
      </c>
      <c r="D81" s="1" t="s">
        <v>22</v>
      </c>
      <c r="F81" s="1">
        <v>135</v>
      </c>
      <c r="G81" s="1">
        <f t="shared" si="11"/>
        <v>-135</v>
      </c>
      <c r="H81" s="1">
        <v>135</v>
      </c>
      <c r="J81" s="1">
        <f t="shared" si="1"/>
        <v>100</v>
      </c>
      <c r="K81" s="1">
        <f t="shared" si="2"/>
        <v>-100</v>
      </c>
    </row>
    <row r="82" spans="1:19" x14ac:dyDescent="0.55000000000000004">
      <c r="A82" s="1">
        <v>7</v>
      </c>
      <c r="B82" s="1" t="s">
        <v>32</v>
      </c>
      <c r="C82" s="1" t="s">
        <v>12</v>
      </c>
      <c r="D82" s="1" t="s">
        <v>23</v>
      </c>
      <c r="F82" s="1">
        <v>114</v>
      </c>
      <c r="G82" s="1">
        <f t="shared" si="11"/>
        <v>-114</v>
      </c>
      <c r="H82" s="1">
        <v>106</v>
      </c>
      <c r="J82" s="1">
        <f t="shared" si="1"/>
        <v>92.982456140350877</v>
      </c>
      <c r="K82" s="1">
        <f t="shared" si="2"/>
        <v>-92.982456140350877</v>
      </c>
    </row>
    <row r="83" spans="1:19" x14ac:dyDescent="0.55000000000000004">
      <c r="A83" s="1">
        <v>7</v>
      </c>
      <c r="B83" s="1" t="s">
        <v>32</v>
      </c>
      <c r="C83" s="1" t="s">
        <v>12</v>
      </c>
      <c r="D83" s="1" t="s">
        <v>25</v>
      </c>
      <c r="F83" s="1">
        <v>123</v>
      </c>
      <c r="G83" s="1">
        <f t="shared" si="11"/>
        <v>-123</v>
      </c>
      <c r="H83" s="1">
        <v>118</v>
      </c>
      <c r="J83" s="1">
        <f t="shared" si="1"/>
        <v>95.934959349593498</v>
      </c>
      <c r="K83" s="1">
        <f t="shared" si="2"/>
        <v>-95.934959349593498</v>
      </c>
    </row>
    <row r="84" spans="1:19" x14ac:dyDescent="0.55000000000000004">
      <c r="A84" s="1">
        <v>7</v>
      </c>
      <c r="B84" s="1" t="s">
        <v>32</v>
      </c>
      <c r="C84" s="1" t="s">
        <v>12</v>
      </c>
      <c r="D84" s="1" t="s">
        <v>26</v>
      </c>
      <c r="F84" s="1">
        <v>98</v>
      </c>
      <c r="G84" s="1">
        <f t="shared" si="11"/>
        <v>-98</v>
      </c>
      <c r="H84" s="1">
        <v>96</v>
      </c>
      <c r="J84" s="1">
        <f t="shared" si="1"/>
        <v>97.959183673469383</v>
      </c>
      <c r="K84" s="1">
        <f t="shared" si="2"/>
        <v>-97.959183673469383</v>
      </c>
    </row>
    <row r="85" spans="1:19" x14ac:dyDescent="0.55000000000000004">
      <c r="A85" s="1">
        <v>8</v>
      </c>
      <c r="B85" s="1" t="s">
        <v>32</v>
      </c>
      <c r="C85" s="1" t="s">
        <v>12</v>
      </c>
      <c r="D85" s="1" t="s">
        <v>13</v>
      </c>
      <c r="F85" s="1">
        <v>103</v>
      </c>
      <c r="G85" s="1">
        <f t="shared" si="11"/>
        <v>-103</v>
      </c>
      <c r="H85" s="1">
        <v>99</v>
      </c>
      <c r="J85" s="1">
        <f t="shared" si="1"/>
        <v>96.116504854368941</v>
      </c>
      <c r="K85" s="1">
        <f t="shared" si="2"/>
        <v>-96.116504854368941</v>
      </c>
    </row>
    <row r="86" spans="1:19" x14ac:dyDescent="0.55000000000000004">
      <c r="A86" s="1">
        <v>8</v>
      </c>
      <c r="B86" s="1" t="s">
        <v>32</v>
      </c>
      <c r="C86" s="1" t="s">
        <v>19</v>
      </c>
      <c r="D86" s="1" t="s">
        <v>14</v>
      </c>
      <c r="F86" s="1">
        <v>144</v>
      </c>
      <c r="G86" s="1">
        <f t="shared" si="11"/>
        <v>-144</v>
      </c>
      <c r="H86" s="1">
        <v>141</v>
      </c>
      <c r="J86" s="1">
        <f t="shared" si="1"/>
        <v>97.916666666666657</v>
      </c>
      <c r="K86" s="1">
        <f t="shared" si="2"/>
        <v>-97.916666666666657</v>
      </c>
      <c r="M86" s="1">
        <v>9</v>
      </c>
      <c r="P86" s="1">
        <v>10</v>
      </c>
      <c r="S86" s="1">
        <v>10</v>
      </c>
    </row>
    <row r="87" spans="1:19" x14ac:dyDescent="0.55000000000000004">
      <c r="A87" s="1">
        <v>8</v>
      </c>
      <c r="B87" s="1" t="s">
        <v>32</v>
      </c>
      <c r="C87" s="1" t="s">
        <v>19</v>
      </c>
      <c r="D87" s="1" t="s">
        <v>15</v>
      </c>
      <c r="F87" s="1">
        <v>130</v>
      </c>
      <c r="G87" s="1">
        <f t="shared" si="11"/>
        <v>-130</v>
      </c>
      <c r="H87" s="1">
        <v>123</v>
      </c>
      <c r="J87" s="1">
        <f t="shared" si="1"/>
        <v>94.615384615384613</v>
      </c>
      <c r="K87" s="1">
        <f t="shared" si="2"/>
        <v>-94.615384615384613</v>
      </c>
    </row>
    <row r="88" spans="1:19" x14ac:dyDescent="0.55000000000000004">
      <c r="A88" s="1">
        <v>8</v>
      </c>
      <c r="B88" s="1" t="s">
        <v>32</v>
      </c>
      <c r="C88" s="1" t="s">
        <v>19</v>
      </c>
      <c r="D88" s="1" t="s">
        <v>16</v>
      </c>
      <c r="F88" s="1">
        <v>159</v>
      </c>
      <c r="G88" s="1">
        <f t="shared" si="11"/>
        <v>-159</v>
      </c>
      <c r="H88" s="1">
        <v>144</v>
      </c>
      <c r="J88" s="1">
        <f t="shared" si="1"/>
        <v>90.566037735849065</v>
      </c>
      <c r="K88" s="1">
        <f t="shared" si="2"/>
        <v>-90.566037735849065</v>
      </c>
    </row>
    <row r="89" spans="1:19" x14ac:dyDescent="0.55000000000000004">
      <c r="A89" s="1">
        <v>8</v>
      </c>
      <c r="B89" s="1" t="s">
        <v>32</v>
      </c>
      <c r="C89" s="1" t="s">
        <v>19</v>
      </c>
      <c r="D89" s="1" t="s">
        <v>17</v>
      </c>
      <c r="F89" s="1">
        <v>113</v>
      </c>
      <c r="G89" s="1">
        <f t="shared" si="11"/>
        <v>-113</v>
      </c>
      <c r="H89" s="1">
        <v>113</v>
      </c>
      <c r="J89" s="1">
        <f t="shared" si="1"/>
        <v>100</v>
      </c>
      <c r="K89" s="1">
        <f t="shared" si="2"/>
        <v>-100</v>
      </c>
    </row>
    <row r="90" spans="1:19" x14ac:dyDescent="0.55000000000000004">
      <c r="A90" s="1">
        <v>8</v>
      </c>
      <c r="B90" s="1" t="s">
        <v>32</v>
      </c>
      <c r="C90" s="1" t="s">
        <v>19</v>
      </c>
      <c r="D90" s="1" t="s">
        <v>18</v>
      </c>
      <c r="F90" s="1">
        <v>122</v>
      </c>
      <c r="G90" s="1">
        <f t="shared" si="11"/>
        <v>-122</v>
      </c>
      <c r="H90" s="1">
        <v>120</v>
      </c>
      <c r="J90" s="1">
        <f t="shared" si="1"/>
        <v>98.360655737704917</v>
      </c>
      <c r="K90" s="1">
        <f t="shared" si="2"/>
        <v>-98.360655737704917</v>
      </c>
    </row>
    <row r="91" spans="1:19" x14ac:dyDescent="0.55000000000000004">
      <c r="A91" s="1">
        <v>8</v>
      </c>
      <c r="B91" s="1" t="s">
        <v>32</v>
      </c>
      <c r="C91" s="1" t="s">
        <v>19</v>
      </c>
      <c r="D91" s="1" t="s">
        <v>20</v>
      </c>
      <c r="F91" s="1">
        <v>107</v>
      </c>
      <c r="G91" s="1">
        <f t="shared" si="11"/>
        <v>-107</v>
      </c>
      <c r="H91" s="1">
        <v>101</v>
      </c>
      <c r="J91" s="1">
        <f t="shared" si="1"/>
        <v>94.392523364485982</v>
      </c>
      <c r="K91" s="1">
        <f t="shared" si="2"/>
        <v>-94.392523364485982</v>
      </c>
    </row>
    <row r="92" spans="1:19" x14ac:dyDescent="0.55000000000000004">
      <c r="A92" s="1">
        <v>8</v>
      </c>
      <c r="B92" s="1" t="s">
        <v>32</v>
      </c>
      <c r="C92" s="1" t="s">
        <v>19</v>
      </c>
      <c r="D92" s="1" t="s">
        <v>21</v>
      </c>
      <c r="F92" s="1">
        <v>70</v>
      </c>
      <c r="G92" s="1">
        <f t="shared" si="11"/>
        <v>-70</v>
      </c>
      <c r="H92" s="1">
        <v>61</v>
      </c>
      <c r="J92" s="1">
        <f t="shared" si="1"/>
        <v>87.142857142857139</v>
      </c>
      <c r="K92" s="1">
        <f t="shared" si="2"/>
        <v>-87.142857142857139</v>
      </c>
    </row>
    <row r="93" spans="1:19" x14ac:dyDescent="0.55000000000000004">
      <c r="A93" s="1">
        <v>8</v>
      </c>
      <c r="B93" s="1" t="s">
        <v>32</v>
      </c>
      <c r="C93" s="1" t="s">
        <v>19</v>
      </c>
      <c r="D93" s="1" t="s">
        <v>22</v>
      </c>
      <c r="F93" s="1">
        <v>140</v>
      </c>
      <c r="G93" s="1">
        <f t="shared" si="11"/>
        <v>-140</v>
      </c>
      <c r="H93" s="1">
        <v>140</v>
      </c>
      <c r="J93" s="1">
        <f t="shared" si="1"/>
        <v>100</v>
      </c>
      <c r="K93" s="1">
        <f t="shared" si="2"/>
        <v>-100</v>
      </c>
    </row>
    <row r="94" spans="1:19" x14ac:dyDescent="0.55000000000000004">
      <c r="A94" s="1">
        <v>8</v>
      </c>
      <c r="B94" s="1" t="s">
        <v>32</v>
      </c>
      <c r="C94" s="1" t="s">
        <v>19</v>
      </c>
      <c r="D94" s="1" t="s">
        <v>23</v>
      </c>
      <c r="F94" s="1">
        <v>148</v>
      </c>
      <c r="G94" s="1">
        <f t="shared" si="11"/>
        <v>-148</v>
      </c>
      <c r="H94" s="1">
        <v>148</v>
      </c>
      <c r="J94" s="1">
        <f t="shared" si="1"/>
        <v>100</v>
      </c>
      <c r="K94" s="1">
        <f t="shared" si="2"/>
        <v>-100</v>
      </c>
    </row>
    <row r="95" spans="1:19" x14ac:dyDescent="0.55000000000000004">
      <c r="A95" s="1">
        <v>8</v>
      </c>
      <c r="B95" s="1" t="s">
        <v>32</v>
      </c>
      <c r="C95" s="1" t="s">
        <v>28</v>
      </c>
      <c r="D95" s="1" t="s">
        <v>25</v>
      </c>
      <c r="F95" s="1">
        <v>65</v>
      </c>
      <c r="G95" s="1">
        <f t="shared" si="11"/>
        <v>-65</v>
      </c>
      <c r="H95" s="1">
        <v>63</v>
      </c>
      <c r="J95" s="1">
        <f t="shared" si="1"/>
        <v>96.92307692307692</v>
      </c>
      <c r="K95" s="1">
        <f t="shared" si="2"/>
        <v>-96.92307692307692</v>
      </c>
      <c r="M95" s="1">
        <v>8</v>
      </c>
      <c r="P95" s="1">
        <v>9</v>
      </c>
      <c r="S95" s="1">
        <v>10</v>
      </c>
    </row>
    <row r="96" spans="1:19" x14ac:dyDescent="0.55000000000000004">
      <c r="A96" s="1">
        <v>8</v>
      </c>
      <c r="B96" s="1" t="s">
        <v>32</v>
      </c>
      <c r="C96" s="1" t="s">
        <v>28</v>
      </c>
      <c r="D96" s="1" t="s">
        <v>26</v>
      </c>
      <c r="F96" s="1">
        <v>60</v>
      </c>
      <c r="G96" s="1">
        <f t="shared" si="11"/>
        <v>-60</v>
      </c>
      <c r="H96" s="1">
        <v>56</v>
      </c>
      <c r="J96" s="1">
        <f t="shared" si="1"/>
        <v>93.333333333333329</v>
      </c>
      <c r="K96" s="1">
        <f t="shared" si="2"/>
        <v>-93.333333333333329</v>
      </c>
    </row>
    <row r="97" spans="1:19" x14ac:dyDescent="0.55000000000000004">
      <c r="A97" s="1">
        <v>9</v>
      </c>
      <c r="B97" s="1" t="s">
        <v>32</v>
      </c>
      <c r="C97" s="1" t="s">
        <v>28</v>
      </c>
      <c r="D97" s="1" t="s">
        <v>13</v>
      </c>
      <c r="F97" s="1">
        <v>145</v>
      </c>
      <c r="G97" s="1">
        <f t="shared" si="11"/>
        <v>-145</v>
      </c>
      <c r="H97" s="1">
        <v>129</v>
      </c>
      <c r="J97" s="1">
        <f t="shared" si="1"/>
        <v>88.965517241379317</v>
      </c>
      <c r="K97" s="1">
        <f t="shared" si="2"/>
        <v>-88.965517241379317</v>
      </c>
    </row>
    <row r="98" spans="1:19" x14ac:dyDescent="0.55000000000000004">
      <c r="A98" s="1">
        <v>9</v>
      </c>
      <c r="B98" s="1" t="s">
        <v>32</v>
      </c>
      <c r="C98" s="1" t="s">
        <v>28</v>
      </c>
      <c r="D98" s="1" t="s">
        <v>14</v>
      </c>
      <c r="F98" s="1">
        <v>88</v>
      </c>
      <c r="G98" s="1">
        <f t="shared" si="11"/>
        <v>-88</v>
      </c>
      <c r="H98" s="1">
        <v>82</v>
      </c>
      <c r="J98" s="1">
        <f t="shared" si="1"/>
        <v>93.181818181818173</v>
      </c>
      <c r="K98" s="1">
        <f t="shared" si="2"/>
        <v>-93.181818181818173</v>
      </c>
    </row>
    <row r="99" spans="1:19" x14ac:dyDescent="0.55000000000000004">
      <c r="A99" s="1">
        <v>9</v>
      </c>
      <c r="B99" s="1" t="s">
        <v>32</v>
      </c>
      <c r="C99" s="1" t="s">
        <v>28</v>
      </c>
      <c r="D99" s="1" t="s">
        <v>15</v>
      </c>
      <c r="F99" s="1">
        <v>64</v>
      </c>
      <c r="G99" s="1">
        <f t="shared" si="11"/>
        <v>-64</v>
      </c>
      <c r="H99" s="1">
        <v>46</v>
      </c>
      <c r="J99" s="1">
        <f t="shared" si="1"/>
        <v>71.875</v>
      </c>
      <c r="K99" s="1">
        <f t="shared" si="2"/>
        <v>-71.875</v>
      </c>
    </row>
    <row r="100" spans="1:19" x14ac:dyDescent="0.55000000000000004">
      <c r="A100" s="1">
        <v>9</v>
      </c>
      <c r="B100" s="1" t="s">
        <v>32</v>
      </c>
      <c r="C100" s="1" t="s">
        <v>28</v>
      </c>
      <c r="D100" s="1" t="s">
        <v>16</v>
      </c>
      <c r="F100" s="1">
        <v>24</v>
      </c>
      <c r="G100" s="1">
        <f t="shared" si="11"/>
        <v>-24</v>
      </c>
      <c r="H100" s="1">
        <v>14</v>
      </c>
      <c r="J100" s="1">
        <f t="shared" si="1"/>
        <v>58.333333333333336</v>
      </c>
      <c r="K100" s="1">
        <f t="shared" si="2"/>
        <v>-58.333333333333336</v>
      </c>
    </row>
    <row r="101" spans="1:19" x14ac:dyDescent="0.55000000000000004">
      <c r="A101" s="1">
        <v>9</v>
      </c>
      <c r="B101" s="1" t="s">
        <v>32</v>
      </c>
      <c r="C101" s="1" t="s">
        <v>28</v>
      </c>
      <c r="D101" s="1" t="s">
        <v>17</v>
      </c>
      <c r="F101" s="1">
        <v>0</v>
      </c>
      <c r="H101" s="1" t="s">
        <v>24</v>
      </c>
      <c r="J101" s="1" t="e">
        <f t="shared" si="1"/>
        <v>#VALUE!</v>
      </c>
      <c r="K101" s="1" t="e">
        <f t="shared" si="2"/>
        <v>#VALUE!</v>
      </c>
    </row>
    <row r="102" spans="1:19" x14ac:dyDescent="0.55000000000000004">
      <c r="A102" s="1">
        <v>9</v>
      </c>
      <c r="B102" s="1" t="s">
        <v>32</v>
      </c>
      <c r="C102" s="1" t="s">
        <v>28</v>
      </c>
      <c r="D102" s="1" t="s">
        <v>18</v>
      </c>
      <c r="F102" s="1">
        <v>49</v>
      </c>
      <c r="G102" s="1">
        <f t="shared" ref="G102:G105" si="12">F102*-1</f>
        <v>-49</v>
      </c>
      <c r="H102" s="1">
        <v>48</v>
      </c>
      <c r="J102" s="1">
        <f t="shared" si="1"/>
        <v>97.959183673469383</v>
      </c>
      <c r="K102" s="1">
        <f t="shared" si="2"/>
        <v>-97.959183673469383</v>
      </c>
    </row>
    <row r="103" spans="1:19" x14ac:dyDescent="0.55000000000000004">
      <c r="A103" s="1">
        <v>9</v>
      </c>
      <c r="B103" s="1" t="s">
        <v>32</v>
      </c>
      <c r="C103" s="1" t="s">
        <v>29</v>
      </c>
      <c r="D103" s="1" t="s">
        <v>20</v>
      </c>
      <c r="F103" s="1">
        <v>73</v>
      </c>
      <c r="G103" s="1">
        <f t="shared" si="12"/>
        <v>-73</v>
      </c>
      <c r="H103" s="1">
        <v>71</v>
      </c>
      <c r="J103" s="1">
        <f t="shared" si="1"/>
        <v>97.260273972602747</v>
      </c>
      <c r="K103" s="1">
        <f t="shared" si="2"/>
        <v>-97.260273972602747</v>
      </c>
      <c r="M103" s="1">
        <v>10</v>
      </c>
      <c r="P103" s="1">
        <v>10</v>
      </c>
      <c r="S103" s="1">
        <v>0</v>
      </c>
    </row>
    <row r="104" spans="1:19" x14ac:dyDescent="0.55000000000000004">
      <c r="A104" s="1">
        <v>9</v>
      </c>
      <c r="B104" s="1" t="s">
        <v>32</v>
      </c>
      <c r="C104" s="1" t="s">
        <v>29</v>
      </c>
      <c r="D104" s="1" t="s">
        <v>21</v>
      </c>
      <c r="F104" s="1">
        <v>55</v>
      </c>
      <c r="G104" s="1">
        <f t="shared" si="12"/>
        <v>-55</v>
      </c>
      <c r="H104" s="1">
        <v>0</v>
      </c>
      <c r="J104" s="1">
        <f t="shared" si="1"/>
        <v>0</v>
      </c>
      <c r="K104" s="1">
        <f t="shared" si="2"/>
        <v>0</v>
      </c>
    </row>
    <row r="105" spans="1:19" x14ac:dyDescent="0.55000000000000004">
      <c r="A105" s="1">
        <v>9</v>
      </c>
      <c r="B105" s="1" t="s">
        <v>32</v>
      </c>
      <c r="C105" s="1" t="s">
        <v>29</v>
      </c>
      <c r="D105" s="1" t="s">
        <v>22</v>
      </c>
      <c r="F105" s="1">
        <v>155</v>
      </c>
      <c r="G105" s="1">
        <f t="shared" si="12"/>
        <v>-155</v>
      </c>
      <c r="H105" s="1">
        <v>154</v>
      </c>
      <c r="J105" s="1">
        <f t="shared" si="1"/>
        <v>99.354838709677423</v>
      </c>
      <c r="K105" s="1">
        <f t="shared" si="2"/>
        <v>-99.354838709677423</v>
      </c>
    </row>
    <row r="106" spans="1:19" x14ac:dyDescent="0.55000000000000004">
      <c r="A106" s="1">
        <v>9</v>
      </c>
      <c r="B106" s="1" t="s">
        <v>32</v>
      </c>
      <c r="C106" s="1" t="s">
        <v>29</v>
      </c>
      <c r="D106" s="1" t="s">
        <v>23</v>
      </c>
      <c r="F106" s="1">
        <v>0</v>
      </c>
      <c r="H106" s="1" t="s">
        <v>24</v>
      </c>
      <c r="J106" s="1" t="e">
        <f t="shared" si="1"/>
        <v>#VALUE!</v>
      </c>
      <c r="K106" s="1" t="e">
        <f t="shared" si="2"/>
        <v>#VALUE!</v>
      </c>
    </row>
    <row r="107" spans="1:19" x14ac:dyDescent="0.55000000000000004">
      <c r="A107" s="1">
        <v>9</v>
      </c>
      <c r="B107" s="1" t="s">
        <v>32</v>
      </c>
      <c r="C107" s="1" t="s">
        <v>29</v>
      </c>
      <c r="D107" s="1" t="s">
        <v>25</v>
      </c>
      <c r="F107" s="1">
        <v>0</v>
      </c>
      <c r="H107" s="1" t="s">
        <v>24</v>
      </c>
      <c r="J107" s="1" t="e">
        <f t="shared" si="1"/>
        <v>#VALUE!</v>
      </c>
      <c r="K107" s="1" t="e">
        <f t="shared" si="2"/>
        <v>#VALUE!</v>
      </c>
    </row>
    <row r="108" spans="1:19" x14ac:dyDescent="0.55000000000000004">
      <c r="A108" s="1">
        <v>9</v>
      </c>
      <c r="B108" s="1" t="s">
        <v>32</v>
      </c>
      <c r="C108" s="1" t="s">
        <v>29</v>
      </c>
      <c r="D108" s="1" t="s">
        <v>26</v>
      </c>
      <c r="F108" s="1">
        <v>185</v>
      </c>
      <c r="G108" s="1">
        <f t="shared" ref="G108:G110" si="13">F108*-1</f>
        <v>-185</v>
      </c>
      <c r="H108" s="1">
        <v>181</v>
      </c>
      <c r="J108" s="1">
        <f t="shared" si="1"/>
        <v>97.837837837837839</v>
      </c>
      <c r="K108" s="1">
        <f t="shared" si="2"/>
        <v>-97.837837837837839</v>
      </c>
    </row>
    <row r="109" spans="1:19" x14ac:dyDescent="0.55000000000000004">
      <c r="A109" s="1">
        <v>10</v>
      </c>
      <c r="B109" s="1" t="s">
        <v>32</v>
      </c>
      <c r="C109" s="1" t="s">
        <v>29</v>
      </c>
      <c r="D109" s="1" t="s">
        <v>13</v>
      </c>
      <c r="F109" s="1">
        <v>84</v>
      </c>
      <c r="G109" s="1">
        <f t="shared" si="13"/>
        <v>-84</v>
      </c>
      <c r="H109" s="1">
        <v>82</v>
      </c>
      <c r="J109" s="1">
        <f t="shared" si="1"/>
        <v>97.61904761904762</v>
      </c>
      <c r="K109" s="1">
        <f t="shared" si="2"/>
        <v>-97.61904761904762</v>
      </c>
    </row>
    <row r="110" spans="1:19" x14ac:dyDescent="0.55000000000000004">
      <c r="A110" s="1">
        <v>10</v>
      </c>
      <c r="B110" s="1" t="s">
        <v>32</v>
      </c>
      <c r="C110" s="1" t="s">
        <v>29</v>
      </c>
      <c r="D110" s="1" t="s">
        <v>14</v>
      </c>
      <c r="F110" s="1">
        <v>78</v>
      </c>
      <c r="G110" s="1">
        <f t="shared" si="13"/>
        <v>-78</v>
      </c>
      <c r="H110" s="1">
        <v>68</v>
      </c>
      <c r="J110" s="1">
        <f t="shared" si="1"/>
        <v>87.179487179487182</v>
      </c>
      <c r="K110" s="1">
        <f t="shared" si="2"/>
        <v>-87.179487179487182</v>
      </c>
    </row>
    <row r="111" spans="1:19" x14ac:dyDescent="0.55000000000000004">
      <c r="A111" s="1">
        <v>10</v>
      </c>
      <c r="B111" s="1" t="s">
        <v>32</v>
      </c>
      <c r="C111" s="1" t="s">
        <v>29</v>
      </c>
      <c r="D111" s="1" t="s">
        <v>15</v>
      </c>
      <c r="F111" s="1">
        <v>0</v>
      </c>
      <c r="H111" s="1" t="s">
        <v>24</v>
      </c>
      <c r="J111" s="1" t="e">
        <f t="shared" si="1"/>
        <v>#VALUE!</v>
      </c>
      <c r="K111" s="1" t="e">
        <f t="shared" si="2"/>
        <v>#VALUE!</v>
      </c>
    </row>
    <row r="112" spans="1:19" x14ac:dyDescent="0.55000000000000004">
      <c r="A112" s="1">
        <v>10</v>
      </c>
      <c r="B112" s="1" t="s">
        <v>32</v>
      </c>
      <c r="C112" s="1" t="s">
        <v>29</v>
      </c>
      <c r="D112" s="1" t="s">
        <v>16</v>
      </c>
      <c r="F112" s="1">
        <v>59</v>
      </c>
      <c r="G112" s="1">
        <f t="shared" ref="G112:G125" si="14">F112*-1</f>
        <v>-59</v>
      </c>
      <c r="H112" s="1">
        <v>55</v>
      </c>
      <c r="J112" s="1">
        <f t="shared" si="1"/>
        <v>93.220338983050837</v>
      </c>
      <c r="K112" s="1">
        <f t="shared" si="2"/>
        <v>-93.220338983050837</v>
      </c>
    </row>
    <row r="113" spans="1:19" x14ac:dyDescent="0.55000000000000004">
      <c r="A113" s="1">
        <v>10</v>
      </c>
      <c r="B113" s="1" t="s">
        <v>32</v>
      </c>
      <c r="C113" s="1" t="s">
        <v>30</v>
      </c>
      <c r="D113" s="1" t="s">
        <v>17</v>
      </c>
      <c r="F113" s="1">
        <v>58</v>
      </c>
      <c r="G113" s="1">
        <f t="shared" si="14"/>
        <v>-58</v>
      </c>
      <c r="H113" s="1">
        <v>57</v>
      </c>
      <c r="J113" s="1">
        <f t="shared" si="1"/>
        <v>98.275862068965509</v>
      </c>
      <c r="K113" s="1">
        <f t="shared" si="2"/>
        <v>-98.275862068965509</v>
      </c>
      <c r="M113" s="1">
        <v>9</v>
      </c>
      <c r="P113" s="1">
        <v>9</v>
      </c>
      <c r="S113" s="1">
        <v>0</v>
      </c>
    </row>
    <row r="114" spans="1:19" x14ac:dyDescent="0.55000000000000004">
      <c r="A114" s="1">
        <v>10</v>
      </c>
      <c r="B114" s="1" t="s">
        <v>32</v>
      </c>
      <c r="C114" s="1" t="s">
        <v>30</v>
      </c>
      <c r="D114" s="1" t="s">
        <v>18</v>
      </c>
      <c r="F114" s="1">
        <v>62</v>
      </c>
      <c r="G114" s="1">
        <f t="shared" si="14"/>
        <v>-62</v>
      </c>
      <c r="H114" s="1">
        <v>58</v>
      </c>
      <c r="J114" s="1">
        <f t="shared" si="1"/>
        <v>93.548387096774192</v>
      </c>
      <c r="K114" s="1">
        <f t="shared" si="2"/>
        <v>-93.548387096774192</v>
      </c>
    </row>
    <row r="115" spans="1:19" x14ac:dyDescent="0.55000000000000004">
      <c r="A115" s="1">
        <v>10</v>
      </c>
      <c r="B115" s="1" t="s">
        <v>32</v>
      </c>
      <c r="C115" s="1" t="s">
        <v>30</v>
      </c>
      <c r="D115" s="1" t="s">
        <v>20</v>
      </c>
      <c r="F115" s="1">
        <v>98</v>
      </c>
      <c r="G115" s="1">
        <f t="shared" si="14"/>
        <v>-98</v>
      </c>
      <c r="H115" s="1">
        <v>92</v>
      </c>
      <c r="J115" s="1">
        <f t="shared" si="1"/>
        <v>93.877551020408163</v>
      </c>
      <c r="K115" s="1">
        <f t="shared" si="2"/>
        <v>-93.877551020408163</v>
      </c>
    </row>
    <row r="116" spans="1:19" x14ac:dyDescent="0.55000000000000004">
      <c r="A116" s="1">
        <v>10</v>
      </c>
      <c r="B116" s="1" t="s">
        <v>32</v>
      </c>
      <c r="C116" s="1" t="s">
        <v>30</v>
      </c>
      <c r="D116" s="1" t="s">
        <v>21</v>
      </c>
      <c r="F116" s="1">
        <v>88</v>
      </c>
      <c r="G116" s="1">
        <f t="shared" si="14"/>
        <v>-88</v>
      </c>
      <c r="H116" s="1">
        <v>27</v>
      </c>
      <c r="J116" s="1">
        <f t="shared" si="1"/>
        <v>30.681818181818183</v>
      </c>
      <c r="K116" s="1">
        <f t="shared" si="2"/>
        <v>-30.681818181818183</v>
      </c>
    </row>
    <row r="117" spans="1:19" x14ac:dyDescent="0.55000000000000004">
      <c r="A117" s="1">
        <v>10</v>
      </c>
      <c r="B117" s="1" t="s">
        <v>32</v>
      </c>
      <c r="C117" s="1" t="s">
        <v>30</v>
      </c>
      <c r="D117" s="1" t="s">
        <v>22</v>
      </c>
      <c r="F117" s="1">
        <v>130</v>
      </c>
      <c r="G117" s="1">
        <f t="shared" si="14"/>
        <v>-130</v>
      </c>
      <c r="H117" s="1">
        <v>124</v>
      </c>
      <c r="J117" s="1">
        <f t="shared" si="1"/>
        <v>95.384615384615387</v>
      </c>
      <c r="K117" s="1">
        <f t="shared" si="2"/>
        <v>-95.384615384615387</v>
      </c>
    </row>
    <row r="118" spans="1:19" x14ac:dyDescent="0.55000000000000004">
      <c r="A118" s="1">
        <v>10</v>
      </c>
      <c r="B118" s="1" t="s">
        <v>32</v>
      </c>
      <c r="C118" s="1" t="s">
        <v>30</v>
      </c>
      <c r="D118" s="1" t="s">
        <v>23</v>
      </c>
      <c r="F118" s="1">
        <v>86</v>
      </c>
      <c r="G118" s="1">
        <f t="shared" si="14"/>
        <v>-86</v>
      </c>
      <c r="H118" s="1">
        <v>80</v>
      </c>
      <c r="J118" s="1">
        <f t="shared" si="1"/>
        <v>93.023255813953483</v>
      </c>
      <c r="K118" s="1">
        <f t="shared" si="2"/>
        <v>-93.023255813953483</v>
      </c>
    </row>
    <row r="119" spans="1:19" x14ac:dyDescent="0.55000000000000004">
      <c r="A119" s="1">
        <v>10</v>
      </c>
      <c r="B119" s="1" t="s">
        <v>32</v>
      </c>
      <c r="C119" s="1" t="s">
        <v>30</v>
      </c>
      <c r="D119" s="1" t="s">
        <v>25</v>
      </c>
      <c r="F119" s="1">
        <v>109</v>
      </c>
      <c r="G119" s="1">
        <f t="shared" si="14"/>
        <v>-109</v>
      </c>
      <c r="H119" s="1">
        <v>105</v>
      </c>
      <c r="J119" s="1">
        <f t="shared" si="1"/>
        <v>96.330275229357795</v>
      </c>
      <c r="K119" s="1">
        <f t="shared" si="2"/>
        <v>-96.330275229357795</v>
      </c>
    </row>
    <row r="120" spans="1:19" x14ac:dyDescent="0.55000000000000004">
      <c r="A120" s="1">
        <v>10</v>
      </c>
      <c r="B120" s="1" t="s">
        <v>32</v>
      </c>
      <c r="C120" s="1" t="s">
        <v>30</v>
      </c>
      <c r="D120" s="1" t="s">
        <v>26</v>
      </c>
      <c r="F120" s="1">
        <v>115</v>
      </c>
      <c r="G120" s="1">
        <f t="shared" si="14"/>
        <v>-115</v>
      </c>
      <c r="H120" s="1">
        <v>110</v>
      </c>
      <c r="J120" s="1">
        <f t="shared" si="1"/>
        <v>95.652173913043484</v>
      </c>
      <c r="K120" s="1">
        <f t="shared" si="2"/>
        <v>-95.652173913043484</v>
      </c>
    </row>
    <row r="121" spans="1:19" x14ac:dyDescent="0.55000000000000004">
      <c r="A121" s="1">
        <v>11</v>
      </c>
      <c r="B121" s="1" t="s">
        <v>32</v>
      </c>
      <c r="C121" s="1" t="s">
        <v>30</v>
      </c>
      <c r="D121" s="1" t="s">
        <v>13</v>
      </c>
      <c r="F121" s="1">
        <v>94</v>
      </c>
      <c r="G121" s="1">
        <f t="shared" si="14"/>
        <v>-94</v>
      </c>
      <c r="H121" s="1">
        <v>90</v>
      </c>
      <c r="J121" s="1">
        <f t="shared" si="1"/>
        <v>95.744680851063833</v>
      </c>
      <c r="K121" s="1">
        <f t="shared" si="2"/>
        <v>-95.744680851063833</v>
      </c>
    </row>
    <row r="122" spans="1:19" x14ac:dyDescent="0.55000000000000004">
      <c r="A122" s="1">
        <v>12</v>
      </c>
      <c r="B122" s="1" t="s">
        <v>33</v>
      </c>
      <c r="C122" s="1" t="s">
        <v>12</v>
      </c>
      <c r="D122" s="1" t="s">
        <v>13</v>
      </c>
      <c r="F122" s="1">
        <v>49</v>
      </c>
      <c r="G122" s="1">
        <f t="shared" si="14"/>
        <v>-49</v>
      </c>
      <c r="H122" s="1">
        <v>30</v>
      </c>
      <c r="J122" s="1">
        <f t="shared" si="1"/>
        <v>61.224489795918366</v>
      </c>
      <c r="K122" s="1">
        <f t="shared" si="2"/>
        <v>-61.224489795918366</v>
      </c>
      <c r="M122" s="1">
        <v>4</v>
      </c>
      <c r="P122" s="1">
        <v>8</v>
      </c>
      <c r="S122" s="1">
        <v>40</v>
      </c>
    </row>
    <row r="123" spans="1:19" x14ac:dyDescent="0.55000000000000004">
      <c r="A123" s="1">
        <v>12</v>
      </c>
      <c r="B123" s="1" t="s">
        <v>33</v>
      </c>
      <c r="C123" s="1" t="s">
        <v>12</v>
      </c>
      <c r="D123" s="1" t="s">
        <v>14</v>
      </c>
      <c r="F123" s="1">
        <v>17</v>
      </c>
      <c r="G123" s="1">
        <f t="shared" si="14"/>
        <v>-17</v>
      </c>
      <c r="H123" s="1">
        <v>12</v>
      </c>
      <c r="J123" s="1">
        <f t="shared" si="1"/>
        <v>70.588235294117652</v>
      </c>
      <c r="K123" s="1">
        <f t="shared" si="2"/>
        <v>-70.588235294117652</v>
      </c>
    </row>
    <row r="124" spans="1:19" x14ac:dyDescent="0.55000000000000004">
      <c r="A124" s="1">
        <v>12</v>
      </c>
      <c r="B124" s="1" t="s">
        <v>33</v>
      </c>
      <c r="C124" s="1" t="s">
        <v>12</v>
      </c>
      <c r="D124" s="1" t="s">
        <v>15</v>
      </c>
      <c r="F124" s="1">
        <v>124</v>
      </c>
      <c r="G124" s="1">
        <f t="shared" si="14"/>
        <v>-124</v>
      </c>
      <c r="H124" s="1">
        <v>119</v>
      </c>
      <c r="J124" s="1">
        <f t="shared" si="1"/>
        <v>95.967741935483872</v>
      </c>
      <c r="K124" s="1">
        <f t="shared" si="2"/>
        <v>-95.967741935483872</v>
      </c>
    </row>
    <row r="125" spans="1:19" x14ac:dyDescent="0.55000000000000004">
      <c r="A125" s="1">
        <v>12</v>
      </c>
      <c r="B125" s="1" t="s">
        <v>33</v>
      </c>
      <c r="C125" s="1" t="s">
        <v>12</v>
      </c>
      <c r="D125" s="1" t="s">
        <v>16</v>
      </c>
      <c r="F125" s="1">
        <v>96</v>
      </c>
      <c r="G125" s="1">
        <f t="shared" si="14"/>
        <v>-96</v>
      </c>
      <c r="H125" s="1">
        <v>96</v>
      </c>
      <c r="J125" s="1">
        <f t="shared" si="1"/>
        <v>100</v>
      </c>
      <c r="K125" s="1">
        <f t="shared" si="2"/>
        <v>-100</v>
      </c>
    </row>
    <row r="126" spans="1:19" x14ac:dyDescent="0.55000000000000004">
      <c r="A126" s="1">
        <v>12</v>
      </c>
      <c r="B126" s="1" t="s">
        <v>33</v>
      </c>
      <c r="C126" s="1" t="s">
        <v>19</v>
      </c>
      <c r="D126" s="1" t="s">
        <v>17</v>
      </c>
      <c r="F126" s="1">
        <v>0</v>
      </c>
      <c r="H126" s="1" t="s">
        <v>24</v>
      </c>
      <c r="J126" s="1" t="e">
        <f t="shared" si="1"/>
        <v>#VALUE!</v>
      </c>
      <c r="K126" s="1" t="e">
        <f t="shared" si="2"/>
        <v>#VALUE!</v>
      </c>
      <c r="M126" s="1">
        <v>7</v>
      </c>
      <c r="P126" s="1">
        <v>7</v>
      </c>
      <c r="S126" s="1">
        <v>0</v>
      </c>
    </row>
    <row r="127" spans="1:19" x14ac:dyDescent="0.55000000000000004">
      <c r="A127" s="1">
        <v>12</v>
      </c>
      <c r="B127" s="1" t="s">
        <v>33</v>
      </c>
      <c r="C127" s="1" t="s">
        <v>19</v>
      </c>
      <c r="D127" s="1" t="s">
        <v>18</v>
      </c>
      <c r="F127" s="1">
        <v>70</v>
      </c>
      <c r="G127" s="1">
        <f>F127*-1</f>
        <v>-70</v>
      </c>
      <c r="H127" s="1">
        <v>61</v>
      </c>
      <c r="J127" s="1">
        <f t="shared" si="1"/>
        <v>87.142857142857139</v>
      </c>
      <c r="K127" s="1">
        <f t="shared" si="2"/>
        <v>-87.142857142857139</v>
      </c>
    </row>
    <row r="128" spans="1:19" x14ac:dyDescent="0.55000000000000004">
      <c r="A128" s="1">
        <v>12</v>
      </c>
      <c r="B128" s="1" t="s">
        <v>33</v>
      </c>
      <c r="C128" s="1" t="s">
        <v>19</v>
      </c>
      <c r="D128" s="1" t="s">
        <v>20</v>
      </c>
      <c r="F128" s="1">
        <v>0</v>
      </c>
      <c r="H128" s="1" t="s">
        <v>24</v>
      </c>
      <c r="J128" s="1" t="e">
        <f t="shared" si="1"/>
        <v>#VALUE!</v>
      </c>
      <c r="K128" s="1" t="e">
        <f t="shared" si="2"/>
        <v>#VALUE!</v>
      </c>
    </row>
    <row r="129" spans="1:19" x14ac:dyDescent="0.55000000000000004">
      <c r="A129" s="1">
        <v>12</v>
      </c>
      <c r="B129" s="1" t="s">
        <v>33</v>
      </c>
      <c r="C129" s="1" t="s">
        <v>19</v>
      </c>
      <c r="D129" s="1" t="s">
        <v>21</v>
      </c>
      <c r="F129" s="1">
        <v>0</v>
      </c>
      <c r="H129" s="1" t="s">
        <v>24</v>
      </c>
      <c r="J129" s="1" t="e">
        <f t="shared" si="1"/>
        <v>#VALUE!</v>
      </c>
      <c r="K129" s="1" t="e">
        <f t="shared" si="2"/>
        <v>#VALUE!</v>
      </c>
    </row>
    <row r="130" spans="1:19" x14ac:dyDescent="0.55000000000000004">
      <c r="A130" s="1">
        <v>12</v>
      </c>
      <c r="B130" s="1" t="s">
        <v>33</v>
      </c>
      <c r="C130" s="1" t="s">
        <v>19</v>
      </c>
      <c r="D130" s="1" t="s">
        <v>22</v>
      </c>
      <c r="F130" s="1">
        <v>0</v>
      </c>
      <c r="H130" s="1" t="s">
        <v>24</v>
      </c>
      <c r="J130" s="1" t="e">
        <f t="shared" si="1"/>
        <v>#VALUE!</v>
      </c>
      <c r="K130" s="1" t="e">
        <f t="shared" si="2"/>
        <v>#VALUE!</v>
      </c>
    </row>
    <row r="131" spans="1:19" x14ac:dyDescent="0.55000000000000004">
      <c r="A131" s="1">
        <v>12</v>
      </c>
      <c r="B131" s="1" t="s">
        <v>33</v>
      </c>
      <c r="C131" s="1" t="s">
        <v>19</v>
      </c>
      <c r="D131" s="1" t="s">
        <v>23</v>
      </c>
      <c r="F131" s="1">
        <v>19</v>
      </c>
      <c r="G131" s="1">
        <f>F131*-1</f>
        <v>-19</v>
      </c>
      <c r="H131" s="1">
        <v>16</v>
      </c>
      <c r="J131" s="1">
        <f t="shared" si="1"/>
        <v>84.210526315789465</v>
      </c>
      <c r="K131" s="1">
        <f t="shared" si="2"/>
        <v>-84.210526315789465</v>
      </c>
    </row>
    <row r="132" spans="1:19" x14ac:dyDescent="0.55000000000000004">
      <c r="A132" s="1">
        <v>12</v>
      </c>
      <c r="B132" s="1" t="s">
        <v>33</v>
      </c>
      <c r="C132" s="1" t="s">
        <v>19</v>
      </c>
      <c r="D132" s="1" t="s">
        <v>25</v>
      </c>
      <c r="F132" s="1">
        <v>0</v>
      </c>
      <c r="H132" s="1" t="s">
        <v>24</v>
      </c>
      <c r="J132" s="1" t="e">
        <f t="shared" si="1"/>
        <v>#VALUE!</v>
      </c>
      <c r="K132" s="1" t="e">
        <f t="shared" si="2"/>
        <v>#VALUE!</v>
      </c>
    </row>
    <row r="133" spans="1:19" x14ac:dyDescent="0.55000000000000004">
      <c r="A133" s="1">
        <v>13</v>
      </c>
      <c r="B133" s="1" t="s">
        <v>33</v>
      </c>
      <c r="C133" s="1" t="s">
        <v>28</v>
      </c>
      <c r="D133" s="1" t="s">
        <v>13</v>
      </c>
      <c r="F133" s="1">
        <v>0</v>
      </c>
      <c r="H133" s="1" t="s">
        <v>24</v>
      </c>
      <c r="J133" s="1" t="e">
        <f t="shared" si="1"/>
        <v>#VALUE!</v>
      </c>
      <c r="K133" s="1" t="e">
        <f t="shared" si="2"/>
        <v>#VALUE!</v>
      </c>
      <c r="M133" s="1">
        <v>8</v>
      </c>
      <c r="P133" s="1">
        <v>9</v>
      </c>
      <c r="S133" s="1">
        <v>20</v>
      </c>
    </row>
    <row r="134" spans="1:19" x14ac:dyDescent="0.55000000000000004">
      <c r="A134" s="1">
        <v>13</v>
      </c>
      <c r="B134" s="1" t="s">
        <v>33</v>
      </c>
      <c r="C134" s="1" t="s">
        <v>28</v>
      </c>
      <c r="D134" s="1" t="s">
        <v>14</v>
      </c>
      <c r="F134" s="1">
        <v>0</v>
      </c>
      <c r="H134" s="1" t="s">
        <v>24</v>
      </c>
      <c r="J134" s="1" t="e">
        <f t="shared" si="1"/>
        <v>#VALUE!</v>
      </c>
      <c r="K134" s="1" t="e">
        <f t="shared" si="2"/>
        <v>#VALUE!</v>
      </c>
    </row>
    <row r="135" spans="1:19" x14ac:dyDescent="0.55000000000000004">
      <c r="A135" s="1">
        <v>13</v>
      </c>
      <c r="B135" s="1" t="s">
        <v>33</v>
      </c>
      <c r="C135" s="1" t="s">
        <v>28</v>
      </c>
      <c r="D135" s="1" t="s">
        <v>15</v>
      </c>
      <c r="F135" s="1">
        <v>29</v>
      </c>
      <c r="G135" s="1">
        <f t="shared" ref="G135:G136" si="15">F135*-1</f>
        <v>-29</v>
      </c>
      <c r="H135" s="1">
        <v>22</v>
      </c>
      <c r="J135" s="1">
        <f t="shared" si="1"/>
        <v>75.862068965517238</v>
      </c>
      <c r="K135" s="1">
        <f t="shared" si="2"/>
        <v>-75.862068965517238</v>
      </c>
    </row>
    <row r="136" spans="1:19" x14ac:dyDescent="0.55000000000000004">
      <c r="A136" s="1">
        <v>13</v>
      </c>
      <c r="B136" s="1" t="s">
        <v>33</v>
      </c>
      <c r="C136" s="1" t="s">
        <v>28</v>
      </c>
      <c r="D136" s="1" t="s">
        <v>16</v>
      </c>
      <c r="F136" s="1">
        <v>112</v>
      </c>
      <c r="G136" s="1">
        <f t="shared" si="15"/>
        <v>-112</v>
      </c>
      <c r="H136" s="1">
        <v>109</v>
      </c>
      <c r="J136" s="1">
        <f t="shared" si="1"/>
        <v>97.321428571428569</v>
      </c>
      <c r="K136" s="1">
        <f t="shared" si="2"/>
        <v>-97.321428571428569</v>
      </c>
    </row>
    <row r="137" spans="1:19" x14ac:dyDescent="0.55000000000000004">
      <c r="A137" s="1">
        <v>13</v>
      </c>
      <c r="B137" s="1" t="s">
        <v>33</v>
      </c>
      <c r="C137" s="1" t="s">
        <v>28</v>
      </c>
      <c r="D137" s="1" t="s">
        <v>17</v>
      </c>
      <c r="F137" s="1">
        <v>0</v>
      </c>
      <c r="H137" s="1" t="s">
        <v>24</v>
      </c>
      <c r="J137" s="1" t="e">
        <f t="shared" si="1"/>
        <v>#VALUE!</v>
      </c>
      <c r="K137" s="1" t="e">
        <f t="shared" si="2"/>
        <v>#VALUE!</v>
      </c>
    </row>
    <row r="138" spans="1:19" x14ac:dyDescent="0.55000000000000004">
      <c r="A138" s="1">
        <v>13</v>
      </c>
      <c r="B138" s="1" t="s">
        <v>33</v>
      </c>
      <c r="C138" s="1" t="s">
        <v>28</v>
      </c>
      <c r="D138" s="1" t="s">
        <v>18</v>
      </c>
      <c r="F138" s="1">
        <v>79</v>
      </c>
      <c r="G138" s="1">
        <f>F138*-1</f>
        <v>-79</v>
      </c>
      <c r="H138" s="1">
        <v>62</v>
      </c>
      <c r="J138" s="1">
        <f t="shared" si="1"/>
        <v>78.48101265822784</v>
      </c>
      <c r="K138" s="1">
        <f t="shared" si="2"/>
        <v>-78.48101265822784</v>
      </c>
    </row>
    <row r="139" spans="1:19" x14ac:dyDescent="0.55000000000000004">
      <c r="A139" s="1">
        <v>13</v>
      </c>
      <c r="B139" s="1" t="s">
        <v>33</v>
      </c>
      <c r="C139" s="1" t="s">
        <v>28</v>
      </c>
      <c r="D139" s="1" t="s">
        <v>20</v>
      </c>
      <c r="F139" s="1">
        <v>0</v>
      </c>
      <c r="H139" s="1" t="s">
        <v>24</v>
      </c>
      <c r="J139" s="1" t="e">
        <f t="shared" si="1"/>
        <v>#VALUE!</v>
      </c>
      <c r="K139" s="1" t="e">
        <f t="shared" si="2"/>
        <v>#VALUE!</v>
      </c>
    </row>
    <row r="140" spans="1:19" x14ac:dyDescent="0.55000000000000004">
      <c r="A140" s="1">
        <v>13</v>
      </c>
      <c r="B140" s="1" t="s">
        <v>33</v>
      </c>
      <c r="C140" s="1" t="s">
        <v>28</v>
      </c>
      <c r="D140" s="1" t="s">
        <v>21</v>
      </c>
      <c r="E140" s="2" t="s">
        <v>27</v>
      </c>
      <c r="F140" s="1">
        <v>0</v>
      </c>
      <c r="H140" s="1" t="s">
        <v>24</v>
      </c>
      <c r="J140" s="1" t="e">
        <f t="shared" si="1"/>
        <v>#VALUE!</v>
      </c>
      <c r="K140" s="1" t="e">
        <f t="shared" si="2"/>
        <v>#VALUE!</v>
      </c>
    </row>
    <row r="141" spans="1:19" x14ac:dyDescent="0.55000000000000004">
      <c r="A141" s="1">
        <v>13</v>
      </c>
      <c r="B141" s="1" t="s">
        <v>33</v>
      </c>
      <c r="C141" s="1" t="s">
        <v>29</v>
      </c>
      <c r="D141" s="1" t="s">
        <v>22</v>
      </c>
      <c r="F141" s="1">
        <v>143</v>
      </c>
      <c r="G141" s="1">
        <f>F141*-1</f>
        <v>-143</v>
      </c>
      <c r="H141" s="1">
        <v>134</v>
      </c>
      <c r="J141" s="1">
        <f t="shared" si="1"/>
        <v>93.706293706293707</v>
      </c>
      <c r="K141" s="1">
        <f t="shared" si="2"/>
        <v>-93.706293706293707</v>
      </c>
      <c r="M141" s="1">
        <v>5</v>
      </c>
      <c r="P141" s="1">
        <v>8</v>
      </c>
      <c r="S141" s="1">
        <v>30</v>
      </c>
    </row>
    <row r="142" spans="1:19" x14ac:dyDescent="0.55000000000000004">
      <c r="A142" s="1">
        <v>13</v>
      </c>
      <c r="B142" s="1" t="s">
        <v>33</v>
      </c>
      <c r="C142" s="1" t="s">
        <v>29</v>
      </c>
      <c r="D142" s="1" t="s">
        <v>23</v>
      </c>
      <c r="F142" s="1">
        <v>0</v>
      </c>
      <c r="H142" s="1" t="s">
        <v>24</v>
      </c>
      <c r="J142" s="1" t="e">
        <f t="shared" si="1"/>
        <v>#VALUE!</v>
      </c>
      <c r="K142" s="1" t="e">
        <f t="shared" si="2"/>
        <v>#VALUE!</v>
      </c>
    </row>
    <row r="143" spans="1:19" x14ac:dyDescent="0.55000000000000004">
      <c r="A143" s="1">
        <v>13</v>
      </c>
      <c r="B143" s="1" t="s">
        <v>33</v>
      </c>
      <c r="C143" s="1" t="s">
        <v>29</v>
      </c>
      <c r="D143" s="1" t="s">
        <v>25</v>
      </c>
      <c r="F143" s="1">
        <v>50</v>
      </c>
      <c r="G143" s="1">
        <f t="shared" ref="G143:G149" si="16">F143*-1</f>
        <v>-50</v>
      </c>
      <c r="H143" s="1">
        <v>47</v>
      </c>
      <c r="J143" s="1">
        <f t="shared" si="1"/>
        <v>94</v>
      </c>
      <c r="K143" s="1">
        <f t="shared" si="2"/>
        <v>-94</v>
      </c>
    </row>
    <row r="144" spans="1:19" x14ac:dyDescent="0.55000000000000004">
      <c r="A144" s="1">
        <v>13</v>
      </c>
      <c r="B144" s="1" t="s">
        <v>33</v>
      </c>
      <c r="C144" s="1" t="s">
        <v>29</v>
      </c>
      <c r="D144" s="1" t="s">
        <v>26</v>
      </c>
      <c r="F144" s="1">
        <v>93</v>
      </c>
      <c r="G144" s="1">
        <f t="shared" si="16"/>
        <v>-93</v>
      </c>
      <c r="H144" s="1">
        <v>90</v>
      </c>
      <c r="J144" s="1">
        <f t="shared" si="1"/>
        <v>96.774193548387103</v>
      </c>
      <c r="K144" s="1">
        <f t="shared" si="2"/>
        <v>-96.774193548387103</v>
      </c>
    </row>
    <row r="145" spans="1:19" x14ac:dyDescent="0.55000000000000004">
      <c r="A145" s="1">
        <v>14</v>
      </c>
      <c r="B145" s="1" t="s">
        <v>33</v>
      </c>
      <c r="C145" s="1" t="s">
        <v>29</v>
      </c>
      <c r="D145" s="1" t="s">
        <v>13</v>
      </c>
      <c r="F145" s="1">
        <v>33</v>
      </c>
      <c r="G145" s="1">
        <f t="shared" si="16"/>
        <v>-33</v>
      </c>
      <c r="H145" s="1">
        <v>26</v>
      </c>
      <c r="J145" s="1">
        <f t="shared" si="1"/>
        <v>78.787878787878782</v>
      </c>
      <c r="K145" s="1">
        <f t="shared" si="2"/>
        <v>-78.787878787878782</v>
      </c>
    </row>
    <row r="146" spans="1:19" x14ac:dyDescent="0.55000000000000004">
      <c r="A146" s="1">
        <v>14</v>
      </c>
      <c r="B146" s="1" t="s">
        <v>33</v>
      </c>
      <c r="C146" s="1" t="s">
        <v>30</v>
      </c>
      <c r="D146" s="1" t="s">
        <v>14</v>
      </c>
      <c r="F146" s="1">
        <v>4</v>
      </c>
      <c r="G146" s="1">
        <f t="shared" si="16"/>
        <v>-4</v>
      </c>
      <c r="H146" s="1">
        <v>2</v>
      </c>
      <c r="J146" s="1">
        <f t="shared" si="1"/>
        <v>50</v>
      </c>
      <c r="K146" s="1">
        <f t="shared" si="2"/>
        <v>-50</v>
      </c>
      <c r="M146" s="1">
        <v>5</v>
      </c>
      <c r="P146" s="1">
        <v>6</v>
      </c>
      <c r="S146" s="1">
        <v>10</v>
      </c>
    </row>
    <row r="147" spans="1:19" x14ac:dyDescent="0.55000000000000004">
      <c r="A147" s="1">
        <v>14</v>
      </c>
      <c r="B147" s="1" t="s">
        <v>33</v>
      </c>
      <c r="C147" s="1" t="s">
        <v>30</v>
      </c>
      <c r="D147" s="1" t="s">
        <v>15</v>
      </c>
      <c r="F147" s="1">
        <v>79</v>
      </c>
      <c r="G147" s="1">
        <f t="shared" si="16"/>
        <v>-79</v>
      </c>
      <c r="H147" s="1">
        <v>74</v>
      </c>
      <c r="J147" s="1">
        <f t="shared" si="1"/>
        <v>93.670886075949369</v>
      </c>
      <c r="K147" s="1">
        <f t="shared" si="2"/>
        <v>-93.670886075949369</v>
      </c>
    </row>
    <row r="148" spans="1:19" x14ac:dyDescent="0.55000000000000004">
      <c r="A148" s="1">
        <v>14</v>
      </c>
      <c r="B148" s="1" t="s">
        <v>33</v>
      </c>
      <c r="C148" s="1" t="s">
        <v>30</v>
      </c>
      <c r="D148" s="1" t="s">
        <v>16</v>
      </c>
      <c r="F148" s="1">
        <v>103</v>
      </c>
      <c r="G148" s="1">
        <f t="shared" si="16"/>
        <v>-103</v>
      </c>
      <c r="H148" s="1">
        <v>95</v>
      </c>
      <c r="J148" s="1">
        <f t="shared" si="1"/>
        <v>92.233009708737868</v>
      </c>
      <c r="K148" s="1">
        <f t="shared" si="2"/>
        <v>-92.233009708737868</v>
      </c>
    </row>
    <row r="149" spans="1:19" x14ac:dyDescent="0.55000000000000004">
      <c r="A149" s="1">
        <v>14</v>
      </c>
      <c r="B149" s="1" t="s">
        <v>33</v>
      </c>
      <c r="C149" s="1" t="s">
        <v>30</v>
      </c>
      <c r="D149" s="1" t="s">
        <v>17</v>
      </c>
      <c r="F149" s="1">
        <v>4</v>
      </c>
      <c r="G149" s="1">
        <f t="shared" si="16"/>
        <v>-4</v>
      </c>
      <c r="H149" s="1">
        <v>1</v>
      </c>
      <c r="J149" s="1">
        <f t="shared" si="1"/>
        <v>25</v>
      </c>
      <c r="K149" s="1">
        <f t="shared" si="2"/>
        <v>-25</v>
      </c>
    </row>
    <row r="150" spans="1:19" x14ac:dyDescent="0.55000000000000004">
      <c r="A150" s="1">
        <v>14</v>
      </c>
      <c r="B150" s="1" t="s">
        <v>33</v>
      </c>
      <c r="C150" s="1" t="s">
        <v>30</v>
      </c>
      <c r="D150" s="1" t="s">
        <v>18</v>
      </c>
      <c r="F150" s="1">
        <v>0</v>
      </c>
      <c r="H150" s="1" t="s">
        <v>24</v>
      </c>
      <c r="J150" s="1" t="e">
        <f t="shared" si="1"/>
        <v>#VALUE!</v>
      </c>
      <c r="K150" s="1" t="e">
        <f t="shared" si="2"/>
        <v>#VALUE!</v>
      </c>
    </row>
    <row r="151" spans="1:19" x14ac:dyDescent="0.55000000000000004">
      <c r="A151" s="1">
        <v>14</v>
      </c>
      <c r="B151" s="1" t="s">
        <v>34</v>
      </c>
      <c r="C151" s="1" t="s">
        <v>12</v>
      </c>
      <c r="D151" s="1" t="s">
        <v>20</v>
      </c>
      <c r="F151" s="1">
        <v>99</v>
      </c>
      <c r="G151" s="1">
        <f t="shared" ref="G151:G155" si="17">F151*-1</f>
        <v>-99</v>
      </c>
      <c r="H151" s="1">
        <v>96</v>
      </c>
      <c r="J151" s="1">
        <f t="shared" si="1"/>
        <v>96.969696969696969</v>
      </c>
      <c r="K151" s="1">
        <f t="shared" si="2"/>
        <v>-96.969696969696969</v>
      </c>
      <c r="M151" s="1">
        <v>6</v>
      </c>
      <c r="P151" s="1">
        <v>6</v>
      </c>
      <c r="S151" s="1">
        <v>0</v>
      </c>
    </row>
    <row r="152" spans="1:19" x14ac:dyDescent="0.55000000000000004">
      <c r="A152" s="1">
        <v>14</v>
      </c>
      <c r="B152" s="1" t="s">
        <v>34</v>
      </c>
      <c r="C152" s="1" t="s">
        <v>12</v>
      </c>
      <c r="D152" s="1" t="s">
        <v>21</v>
      </c>
      <c r="F152" s="1">
        <v>131</v>
      </c>
      <c r="G152" s="1">
        <f t="shared" si="17"/>
        <v>-131</v>
      </c>
      <c r="H152" s="1">
        <v>127</v>
      </c>
      <c r="J152" s="1">
        <f t="shared" si="1"/>
        <v>96.946564885496173</v>
      </c>
      <c r="K152" s="1">
        <f t="shared" si="2"/>
        <v>-96.946564885496173</v>
      </c>
    </row>
    <row r="153" spans="1:19" x14ac:dyDescent="0.55000000000000004">
      <c r="A153" s="1">
        <v>14</v>
      </c>
      <c r="B153" s="1" t="s">
        <v>34</v>
      </c>
      <c r="C153" s="1" t="s">
        <v>12</v>
      </c>
      <c r="D153" s="1" t="s">
        <v>22</v>
      </c>
      <c r="F153" s="1">
        <v>56</v>
      </c>
      <c r="G153" s="1">
        <f t="shared" si="17"/>
        <v>-56</v>
      </c>
      <c r="H153" s="1">
        <v>50</v>
      </c>
      <c r="J153" s="1">
        <f t="shared" si="1"/>
        <v>89.285714285714292</v>
      </c>
      <c r="K153" s="1">
        <f t="shared" si="2"/>
        <v>-89.285714285714292</v>
      </c>
    </row>
    <row r="154" spans="1:19" x14ac:dyDescent="0.55000000000000004">
      <c r="A154" s="1">
        <v>14</v>
      </c>
      <c r="B154" s="1" t="s">
        <v>34</v>
      </c>
      <c r="C154" s="1" t="s">
        <v>12</v>
      </c>
      <c r="D154" s="1" t="s">
        <v>23</v>
      </c>
      <c r="F154" s="1">
        <v>134</v>
      </c>
      <c r="G154" s="1">
        <f t="shared" si="17"/>
        <v>-134</v>
      </c>
      <c r="H154" s="1">
        <v>128</v>
      </c>
      <c r="J154" s="1">
        <f t="shared" si="1"/>
        <v>95.522388059701484</v>
      </c>
      <c r="K154" s="1">
        <f t="shared" si="2"/>
        <v>-95.522388059701484</v>
      </c>
    </row>
    <row r="155" spans="1:19" x14ac:dyDescent="0.55000000000000004">
      <c r="A155" s="1">
        <v>14</v>
      </c>
      <c r="B155" s="1" t="s">
        <v>34</v>
      </c>
      <c r="C155" s="1" t="s">
        <v>12</v>
      </c>
      <c r="D155" s="1" t="s">
        <v>25</v>
      </c>
      <c r="F155" s="1">
        <v>113</v>
      </c>
      <c r="G155" s="1">
        <f t="shared" si="17"/>
        <v>-113</v>
      </c>
      <c r="H155" s="1">
        <v>108</v>
      </c>
      <c r="J155" s="1">
        <f t="shared" si="1"/>
        <v>95.575221238938056</v>
      </c>
      <c r="K155" s="1">
        <f t="shared" si="2"/>
        <v>-95.575221238938056</v>
      </c>
    </row>
    <row r="156" spans="1:19" x14ac:dyDescent="0.55000000000000004">
      <c r="A156" s="1">
        <v>14</v>
      </c>
      <c r="B156" s="1" t="s">
        <v>34</v>
      </c>
      <c r="C156" s="1" t="s">
        <v>12</v>
      </c>
      <c r="D156" s="1" t="s">
        <v>26</v>
      </c>
      <c r="F156" s="1">
        <v>0</v>
      </c>
      <c r="H156" s="1" t="s">
        <v>24</v>
      </c>
      <c r="J156" s="1" t="e">
        <f t="shared" si="1"/>
        <v>#VALUE!</v>
      </c>
      <c r="K156" s="1" t="e">
        <f t="shared" si="2"/>
        <v>#VALUE!</v>
      </c>
    </row>
    <row r="157" spans="1:19" x14ac:dyDescent="0.55000000000000004">
      <c r="A157" s="1">
        <v>15</v>
      </c>
      <c r="B157" s="1" t="s">
        <v>34</v>
      </c>
      <c r="C157" s="1" t="s">
        <v>19</v>
      </c>
      <c r="D157" s="1" t="s">
        <v>13</v>
      </c>
      <c r="F157" s="1">
        <v>105</v>
      </c>
      <c r="G157" s="1">
        <f>F157*-1</f>
        <v>-105</v>
      </c>
      <c r="H157" s="1">
        <v>90</v>
      </c>
      <c r="J157" s="1">
        <f t="shared" si="1"/>
        <v>85.714285714285708</v>
      </c>
      <c r="K157" s="1">
        <f t="shared" si="2"/>
        <v>-85.714285714285708</v>
      </c>
      <c r="M157" s="1">
        <v>8</v>
      </c>
      <c r="P157" s="1">
        <v>8</v>
      </c>
      <c r="S157" s="1">
        <v>0</v>
      </c>
    </row>
    <row r="158" spans="1:19" x14ac:dyDescent="0.55000000000000004">
      <c r="A158" s="1">
        <v>15</v>
      </c>
      <c r="B158" s="1" t="s">
        <v>34</v>
      </c>
      <c r="C158" s="1" t="s">
        <v>19</v>
      </c>
      <c r="D158" s="1" t="s">
        <v>14</v>
      </c>
      <c r="F158" s="1">
        <v>0</v>
      </c>
      <c r="H158" s="1" t="s">
        <v>24</v>
      </c>
      <c r="J158" s="1" t="e">
        <f t="shared" si="1"/>
        <v>#VALUE!</v>
      </c>
      <c r="K158" s="1" t="e">
        <f t="shared" si="2"/>
        <v>#VALUE!</v>
      </c>
    </row>
    <row r="159" spans="1:19" x14ac:dyDescent="0.55000000000000004">
      <c r="A159" s="1">
        <v>15</v>
      </c>
      <c r="B159" s="1" t="s">
        <v>34</v>
      </c>
      <c r="C159" s="1" t="s">
        <v>19</v>
      </c>
      <c r="D159" s="1" t="s">
        <v>15</v>
      </c>
      <c r="F159" s="1">
        <v>0</v>
      </c>
      <c r="H159" s="1" t="s">
        <v>24</v>
      </c>
      <c r="J159" s="1" t="e">
        <f t="shared" si="1"/>
        <v>#VALUE!</v>
      </c>
      <c r="K159" s="1" t="e">
        <f t="shared" si="2"/>
        <v>#VALUE!</v>
      </c>
    </row>
    <row r="160" spans="1:19" x14ac:dyDescent="0.55000000000000004">
      <c r="A160" s="1">
        <v>15</v>
      </c>
      <c r="B160" s="1" t="s">
        <v>34</v>
      </c>
      <c r="C160" s="1" t="s">
        <v>19</v>
      </c>
      <c r="D160" s="1" t="s">
        <v>16</v>
      </c>
      <c r="F160" s="1">
        <v>117</v>
      </c>
      <c r="G160" s="1">
        <f t="shared" ref="G160:G164" si="18">F160*-1</f>
        <v>-117</v>
      </c>
      <c r="H160" s="1">
        <v>107</v>
      </c>
      <c r="J160" s="1">
        <f t="shared" si="1"/>
        <v>91.452991452991455</v>
      </c>
      <c r="K160" s="1">
        <f t="shared" si="2"/>
        <v>-91.452991452991455</v>
      </c>
    </row>
    <row r="161" spans="1:19" x14ac:dyDescent="0.55000000000000004">
      <c r="A161" s="1">
        <v>15</v>
      </c>
      <c r="B161" s="1" t="s">
        <v>34</v>
      </c>
      <c r="C161" s="1" t="s">
        <v>19</v>
      </c>
      <c r="D161" s="1" t="s">
        <v>17</v>
      </c>
      <c r="F161" s="1">
        <v>150</v>
      </c>
      <c r="G161" s="1">
        <f t="shared" si="18"/>
        <v>-150</v>
      </c>
      <c r="H161" s="1">
        <v>146</v>
      </c>
      <c r="J161" s="1">
        <f t="shared" si="1"/>
        <v>97.333333333333343</v>
      </c>
      <c r="K161" s="1">
        <f t="shared" si="2"/>
        <v>-97.333333333333343</v>
      </c>
    </row>
    <row r="162" spans="1:19" x14ac:dyDescent="0.55000000000000004">
      <c r="A162" s="1">
        <v>15</v>
      </c>
      <c r="B162" s="1" t="s">
        <v>34</v>
      </c>
      <c r="C162" s="1" t="s">
        <v>19</v>
      </c>
      <c r="D162" s="1" t="s">
        <v>18</v>
      </c>
      <c r="F162" s="1">
        <v>115</v>
      </c>
      <c r="G162" s="1">
        <f t="shared" si="18"/>
        <v>-115</v>
      </c>
      <c r="H162" s="1">
        <v>105</v>
      </c>
      <c r="J162" s="1">
        <f t="shared" si="1"/>
        <v>91.304347826086953</v>
      </c>
      <c r="K162" s="1">
        <f t="shared" si="2"/>
        <v>-91.304347826086953</v>
      </c>
    </row>
    <row r="163" spans="1:19" x14ac:dyDescent="0.55000000000000004">
      <c r="A163" s="1">
        <v>15</v>
      </c>
      <c r="B163" s="1" t="s">
        <v>34</v>
      </c>
      <c r="C163" s="1" t="s">
        <v>19</v>
      </c>
      <c r="D163" s="1" t="s">
        <v>20</v>
      </c>
      <c r="F163" s="1">
        <v>43</v>
      </c>
      <c r="G163" s="1">
        <f t="shared" si="18"/>
        <v>-43</v>
      </c>
      <c r="H163" s="1">
        <v>39</v>
      </c>
      <c r="J163" s="1">
        <f t="shared" si="1"/>
        <v>90.697674418604649</v>
      </c>
      <c r="K163" s="1">
        <f t="shared" si="2"/>
        <v>-90.697674418604649</v>
      </c>
    </row>
    <row r="164" spans="1:19" x14ac:dyDescent="0.55000000000000004">
      <c r="A164" s="1">
        <v>15</v>
      </c>
      <c r="B164" s="1" t="s">
        <v>34</v>
      </c>
      <c r="C164" s="1" t="s">
        <v>19</v>
      </c>
      <c r="D164" s="1" t="s">
        <v>21</v>
      </c>
      <c r="F164" s="1">
        <v>77</v>
      </c>
      <c r="G164" s="1">
        <f t="shared" si="18"/>
        <v>-77</v>
      </c>
      <c r="H164" s="1">
        <v>75</v>
      </c>
      <c r="J164" s="1">
        <f t="shared" si="1"/>
        <v>97.402597402597408</v>
      </c>
      <c r="K164" s="1">
        <f t="shared" si="2"/>
        <v>-97.402597402597408</v>
      </c>
    </row>
    <row r="165" spans="1:19" x14ac:dyDescent="0.55000000000000004">
      <c r="A165" s="1">
        <v>15</v>
      </c>
      <c r="B165" s="1" t="s">
        <v>34</v>
      </c>
      <c r="C165" s="1" t="s">
        <v>28</v>
      </c>
      <c r="D165" s="1" t="s">
        <v>22</v>
      </c>
      <c r="F165" s="1">
        <v>0</v>
      </c>
      <c r="H165" s="1" t="s">
        <v>24</v>
      </c>
      <c r="J165" s="1" t="e">
        <f t="shared" si="1"/>
        <v>#VALUE!</v>
      </c>
      <c r="K165" s="1" t="e">
        <f t="shared" si="2"/>
        <v>#VALUE!</v>
      </c>
      <c r="M165" s="1">
        <v>4</v>
      </c>
      <c r="P165" s="1">
        <v>5</v>
      </c>
      <c r="S165" s="1">
        <v>10</v>
      </c>
    </row>
    <row r="166" spans="1:19" x14ac:dyDescent="0.55000000000000004">
      <c r="A166" s="1">
        <v>15</v>
      </c>
      <c r="B166" s="1" t="s">
        <v>34</v>
      </c>
      <c r="C166" s="1" t="s">
        <v>28</v>
      </c>
      <c r="D166" s="1" t="s">
        <v>23</v>
      </c>
      <c r="F166" s="1">
        <v>160</v>
      </c>
      <c r="G166" s="1">
        <f>F166*-1</f>
        <v>-160</v>
      </c>
      <c r="H166" s="1">
        <v>145</v>
      </c>
      <c r="J166" s="1">
        <f t="shared" si="1"/>
        <v>90.625</v>
      </c>
      <c r="K166" s="1">
        <f t="shared" si="2"/>
        <v>-90.625</v>
      </c>
    </row>
    <row r="167" spans="1:19" x14ac:dyDescent="0.55000000000000004">
      <c r="A167" s="1">
        <v>15</v>
      </c>
      <c r="B167" s="1" t="s">
        <v>34</v>
      </c>
      <c r="C167" s="1" t="s">
        <v>28</v>
      </c>
      <c r="D167" s="1" t="s">
        <v>25</v>
      </c>
      <c r="F167" s="1">
        <v>0</v>
      </c>
      <c r="H167" s="1" t="s">
        <v>24</v>
      </c>
      <c r="J167" s="1" t="e">
        <f t="shared" si="1"/>
        <v>#VALUE!</v>
      </c>
      <c r="K167" s="1" t="e">
        <f t="shared" si="2"/>
        <v>#VALUE!</v>
      </c>
    </row>
    <row r="168" spans="1:19" x14ac:dyDescent="0.55000000000000004">
      <c r="A168" s="1">
        <v>15</v>
      </c>
      <c r="B168" s="1" t="s">
        <v>34</v>
      </c>
      <c r="C168" s="1" t="s">
        <v>28</v>
      </c>
      <c r="D168" s="1" t="s">
        <v>26</v>
      </c>
      <c r="F168" s="1">
        <v>191</v>
      </c>
      <c r="G168" s="1">
        <f t="shared" ref="G168:G170" si="19">F168*-1</f>
        <v>-191</v>
      </c>
      <c r="H168" s="1">
        <v>189</v>
      </c>
      <c r="J168" s="1">
        <f t="shared" si="1"/>
        <v>98.952879581151834</v>
      </c>
      <c r="K168" s="1">
        <f t="shared" si="2"/>
        <v>-98.952879581151834</v>
      </c>
    </row>
    <row r="169" spans="1:19" x14ac:dyDescent="0.55000000000000004">
      <c r="A169" s="1">
        <v>16</v>
      </c>
      <c r="B169" s="1" t="s">
        <v>34</v>
      </c>
      <c r="C169" s="1" t="s">
        <v>29</v>
      </c>
      <c r="D169" s="1" t="s">
        <v>13</v>
      </c>
      <c r="F169" s="1">
        <v>109</v>
      </c>
      <c r="G169" s="1">
        <f t="shared" si="19"/>
        <v>-109</v>
      </c>
      <c r="H169" s="1">
        <v>98</v>
      </c>
      <c r="J169" s="1">
        <f t="shared" si="1"/>
        <v>89.908256880733944</v>
      </c>
      <c r="K169" s="1">
        <f t="shared" si="2"/>
        <v>-89.908256880733944</v>
      </c>
      <c r="M169" s="1">
        <v>9</v>
      </c>
      <c r="P169" s="1">
        <v>10</v>
      </c>
      <c r="S169" s="1">
        <v>10</v>
      </c>
    </row>
    <row r="170" spans="1:19" x14ac:dyDescent="0.55000000000000004">
      <c r="A170" s="1">
        <v>16</v>
      </c>
      <c r="B170" s="1" t="s">
        <v>34</v>
      </c>
      <c r="C170" s="1" t="s">
        <v>29</v>
      </c>
      <c r="D170" s="1" t="s">
        <v>14</v>
      </c>
      <c r="F170" s="1">
        <v>141</v>
      </c>
      <c r="G170" s="1">
        <f t="shared" si="19"/>
        <v>-141</v>
      </c>
      <c r="H170" s="1">
        <v>100</v>
      </c>
      <c r="J170" s="1">
        <f t="shared" si="1"/>
        <v>70.921985815602838</v>
      </c>
      <c r="K170" s="1">
        <f t="shared" si="2"/>
        <v>-70.921985815602838</v>
      </c>
    </row>
    <row r="171" spans="1:19" x14ac:dyDescent="0.55000000000000004">
      <c r="A171" s="1">
        <v>16</v>
      </c>
      <c r="B171" s="1" t="s">
        <v>34</v>
      </c>
      <c r="C171" s="1" t="s">
        <v>29</v>
      </c>
      <c r="D171" s="1" t="s">
        <v>15</v>
      </c>
      <c r="F171" s="1">
        <v>0</v>
      </c>
      <c r="H171" s="1" t="s">
        <v>24</v>
      </c>
      <c r="J171" s="1" t="e">
        <f t="shared" si="1"/>
        <v>#VALUE!</v>
      </c>
      <c r="K171" s="1" t="e">
        <f t="shared" si="2"/>
        <v>#VALUE!</v>
      </c>
    </row>
    <row r="172" spans="1:19" x14ac:dyDescent="0.55000000000000004">
      <c r="A172" s="1">
        <v>16</v>
      </c>
      <c r="B172" s="1" t="s">
        <v>34</v>
      </c>
      <c r="C172" s="1" t="s">
        <v>29</v>
      </c>
      <c r="D172" s="1" t="s">
        <v>16</v>
      </c>
      <c r="F172" s="1">
        <v>57</v>
      </c>
      <c r="G172" s="1">
        <f>F172*-1</f>
        <v>-57</v>
      </c>
      <c r="H172" s="1">
        <v>56</v>
      </c>
      <c r="J172" s="1">
        <f t="shared" si="1"/>
        <v>98.245614035087712</v>
      </c>
      <c r="K172" s="1">
        <f t="shared" si="2"/>
        <v>-98.245614035087712</v>
      </c>
    </row>
    <row r="173" spans="1:19" x14ac:dyDescent="0.55000000000000004">
      <c r="A173" s="1">
        <v>16</v>
      </c>
      <c r="B173" s="1" t="s">
        <v>34</v>
      </c>
      <c r="C173" s="1" t="s">
        <v>29</v>
      </c>
      <c r="D173" s="1" t="s">
        <v>17</v>
      </c>
      <c r="F173" s="1">
        <v>0</v>
      </c>
      <c r="H173" s="1" t="s">
        <v>24</v>
      </c>
      <c r="J173" s="1" t="e">
        <f t="shared" si="1"/>
        <v>#VALUE!</v>
      </c>
      <c r="K173" s="1" t="e">
        <f t="shared" si="2"/>
        <v>#VALUE!</v>
      </c>
    </row>
    <row r="174" spans="1:19" x14ac:dyDescent="0.55000000000000004">
      <c r="A174" s="1">
        <v>16</v>
      </c>
      <c r="B174" s="1" t="s">
        <v>34</v>
      </c>
      <c r="C174" s="1" t="s">
        <v>29</v>
      </c>
      <c r="D174" s="1" t="s">
        <v>18</v>
      </c>
      <c r="F174" s="1">
        <v>0</v>
      </c>
      <c r="H174" s="1" t="s">
        <v>24</v>
      </c>
      <c r="J174" s="1" t="e">
        <f t="shared" si="1"/>
        <v>#VALUE!</v>
      </c>
      <c r="K174" s="1" t="e">
        <f t="shared" si="2"/>
        <v>#VALUE!</v>
      </c>
    </row>
    <row r="175" spans="1:19" x14ac:dyDescent="0.55000000000000004">
      <c r="A175" s="1">
        <v>16</v>
      </c>
      <c r="B175" s="1" t="s">
        <v>34</v>
      </c>
      <c r="C175" s="1" t="s">
        <v>29</v>
      </c>
      <c r="D175" s="1" t="s">
        <v>20</v>
      </c>
      <c r="F175" s="1">
        <v>150</v>
      </c>
      <c r="G175" s="1">
        <f>F175*-1</f>
        <v>-150</v>
      </c>
      <c r="H175" s="1">
        <v>68</v>
      </c>
      <c r="J175" s="1">
        <f t="shared" si="1"/>
        <v>45.333333333333329</v>
      </c>
      <c r="K175" s="1">
        <f t="shared" si="2"/>
        <v>-45.333333333333329</v>
      </c>
    </row>
    <row r="176" spans="1:19" x14ac:dyDescent="0.55000000000000004">
      <c r="A176" s="1">
        <v>16</v>
      </c>
      <c r="B176" s="1" t="s">
        <v>34</v>
      </c>
      <c r="C176" s="1" t="s">
        <v>29</v>
      </c>
      <c r="D176" s="1" t="s">
        <v>21</v>
      </c>
      <c r="F176" s="1">
        <v>0</v>
      </c>
      <c r="H176" s="1" t="s">
        <v>24</v>
      </c>
      <c r="J176" s="1" t="e">
        <f t="shared" si="1"/>
        <v>#VALUE!</v>
      </c>
      <c r="K176" s="1" t="e">
        <f t="shared" si="2"/>
        <v>#VALUE!</v>
      </c>
    </row>
    <row r="177" spans="1:19" x14ac:dyDescent="0.55000000000000004">
      <c r="A177" s="1">
        <v>16</v>
      </c>
      <c r="B177" s="1" t="s">
        <v>34</v>
      </c>
      <c r="C177" s="1" t="s">
        <v>29</v>
      </c>
      <c r="D177" s="1" t="s">
        <v>22</v>
      </c>
      <c r="F177" s="1">
        <v>0</v>
      </c>
      <c r="H177" s="1" t="s">
        <v>24</v>
      </c>
      <c r="J177" s="1" t="e">
        <f t="shared" si="1"/>
        <v>#VALUE!</v>
      </c>
      <c r="K177" s="1" t="e">
        <f t="shared" si="2"/>
        <v>#VALUE!</v>
      </c>
    </row>
    <row r="178" spans="1:19" x14ac:dyDescent="0.55000000000000004">
      <c r="A178" s="1">
        <v>16</v>
      </c>
      <c r="B178" s="1" t="s">
        <v>34</v>
      </c>
      <c r="C178" s="1" t="s">
        <v>30</v>
      </c>
      <c r="D178" s="1" t="s">
        <v>23</v>
      </c>
      <c r="F178" s="1">
        <v>106</v>
      </c>
      <c r="G178" s="1">
        <f>F178*-1</f>
        <v>-106</v>
      </c>
      <c r="H178" s="1">
        <v>101</v>
      </c>
      <c r="J178" s="1">
        <f t="shared" si="1"/>
        <v>95.283018867924525</v>
      </c>
      <c r="K178" s="1">
        <f t="shared" si="2"/>
        <v>-95.283018867924525</v>
      </c>
      <c r="M178" s="1">
        <v>8</v>
      </c>
      <c r="P178" s="1">
        <v>9</v>
      </c>
      <c r="S178" s="1">
        <v>10</v>
      </c>
    </row>
    <row r="179" spans="1:19" x14ac:dyDescent="0.55000000000000004">
      <c r="A179" s="1">
        <v>16</v>
      </c>
      <c r="B179" s="1" t="s">
        <v>34</v>
      </c>
      <c r="C179" s="1" t="s">
        <v>30</v>
      </c>
      <c r="D179" s="1" t="s">
        <v>25</v>
      </c>
      <c r="F179" s="2">
        <v>0</v>
      </c>
      <c r="G179" s="2"/>
      <c r="H179" s="2">
        <v>0</v>
      </c>
      <c r="I179" s="2"/>
      <c r="J179" s="2" t="e">
        <f t="shared" si="1"/>
        <v>#DIV/0!</v>
      </c>
      <c r="K179" s="1" t="e">
        <f t="shared" si="2"/>
        <v>#DIV/0!</v>
      </c>
    </row>
    <row r="180" spans="1:19" x14ac:dyDescent="0.55000000000000004">
      <c r="A180" s="1">
        <v>16</v>
      </c>
      <c r="B180" s="1" t="s">
        <v>34</v>
      </c>
      <c r="C180" s="1" t="s">
        <v>30</v>
      </c>
      <c r="D180" s="1" t="s">
        <v>26</v>
      </c>
      <c r="F180" s="1">
        <v>0</v>
      </c>
      <c r="H180" s="1" t="s">
        <v>24</v>
      </c>
      <c r="J180" s="1" t="e">
        <f t="shared" si="1"/>
        <v>#VALUE!</v>
      </c>
      <c r="K180" s="1" t="e">
        <f t="shared" si="2"/>
        <v>#VALUE!</v>
      </c>
    </row>
    <row r="181" spans="1:19" x14ac:dyDescent="0.55000000000000004">
      <c r="A181" s="1">
        <v>17</v>
      </c>
      <c r="B181" s="1" t="s">
        <v>34</v>
      </c>
      <c r="C181" s="1" t="s">
        <v>30</v>
      </c>
      <c r="D181" s="1" t="s">
        <v>13</v>
      </c>
      <c r="F181" s="1">
        <v>135</v>
      </c>
      <c r="G181" s="1">
        <f t="shared" ref="G181:G184" si="20">F181*-1</f>
        <v>-135</v>
      </c>
      <c r="H181" s="1">
        <v>128</v>
      </c>
      <c r="J181" s="1">
        <f t="shared" si="1"/>
        <v>94.814814814814824</v>
      </c>
      <c r="K181" s="1">
        <f t="shared" si="2"/>
        <v>-94.814814814814824</v>
      </c>
    </row>
    <row r="182" spans="1:19" x14ac:dyDescent="0.55000000000000004">
      <c r="A182" s="1">
        <v>17</v>
      </c>
      <c r="B182" s="1" t="s">
        <v>34</v>
      </c>
      <c r="C182" s="1" t="s">
        <v>30</v>
      </c>
      <c r="D182" s="1" t="s">
        <v>14</v>
      </c>
      <c r="F182" s="1">
        <v>82</v>
      </c>
      <c r="G182" s="1">
        <f t="shared" si="20"/>
        <v>-82</v>
      </c>
      <c r="H182" s="1">
        <v>61</v>
      </c>
      <c r="J182" s="1">
        <f t="shared" si="1"/>
        <v>74.390243902439025</v>
      </c>
      <c r="K182" s="1">
        <f t="shared" si="2"/>
        <v>-74.390243902439025</v>
      </c>
    </row>
    <row r="183" spans="1:19" x14ac:dyDescent="0.55000000000000004">
      <c r="A183" s="1">
        <v>17</v>
      </c>
      <c r="B183" s="1" t="s">
        <v>34</v>
      </c>
      <c r="C183" s="1" t="s">
        <v>30</v>
      </c>
      <c r="D183" s="1" t="s">
        <v>15</v>
      </c>
      <c r="F183" s="1">
        <v>56</v>
      </c>
      <c r="G183" s="1">
        <f t="shared" si="20"/>
        <v>-56</v>
      </c>
      <c r="H183" s="1">
        <v>35</v>
      </c>
      <c r="J183" s="1">
        <f t="shared" si="1"/>
        <v>62.5</v>
      </c>
      <c r="K183" s="1">
        <f t="shared" si="2"/>
        <v>-62.5</v>
      </c>
    </row>
    <row r="184" spans="1:19" x14ac:dyDescent="0.55000000000000004">
      <c r="A184" s="1">
        <v>17</v>
      </c>
      <c r="B184" s="1" t="s">
        <v>34</v>
      </c>
      <c r="C184" s="1" t="s">
        <v>30</v>
      </c>
      <c r="D184" s="1" t="s">
        <v>16</v>
      </c>
      <c r="F184" s="1">
        <v>94</v>
      </c>
      <c r="G184" s="1">
        <f t="shared" si="20"/>
        <v>-94</v>
      </c>
      <c r="H184" s="1">
        <v>87</v>
      </c>
      <c r="J184" s="1">
        <f t="shared" si="1"/>
        <v>92.553191489361694</v>
      </c>
      <c r="K184" s="1">
        <f t="shared" si="2"/>
        <v>-92.553191489361694</v>
      </c>
    </row>
    <row r="185" spans="1:19" x14ac:dyDescent="0.55000000000000004">
      <c r="A185" s="1">
        <v>17</v>
      </c>
      <c r="B185" s="1" t="s">
        <v>34</v>
      </c>
      <c r="C185" s="1" t="s">
        <v>30</v>
      </c>
      <c r="D185" s="1" t="s">
        <v>17</v>
      </c>
      <c r="F185" s="1">
        <v>0</v>
      </c>
      <c r="H185" s="1" t="s">
        <v>24</v>
      </c>
      <c r="J185" s="1" t="e">
        <f t="shared" si="1"/>
        <v>#VALUE!</v>
      </c>
      <c r="K185" s="1" t="e">
        <f t="shared" si="2"/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5AE2-8B01-43C5-AD98-7B73BE6BF69A}">
  <dimension ref="A1:P229"/>
  <sheetViews>
    <sheetView topLeftCell="A208" workbookViewId="0">
      <selection activeCell="E238" sqref="E238"/>
    </sheetView>
  </sheetViews>
  <sheetFormatPr defaultRowHeight="14.4" x14ac:dyDescent="0.55000000000000004"/>
  <sheetData>
    <row r="1" spans="1:16" x14ac:dyDescent="0.55000000000000004">
      <c r="A1" s="1" t="s">
        <v>35</v>
      </c>
      <c r="B1" s="1" t="s">
        <v>1</v>
      </c>
      <c r="C1" s="1" t="s">
        <v>36</v>
      </c>
      <c r="D1" s="1" t="s">
        <v>37</v>
      </c>
      <c r="F1" s="1" t="s">
        <v>38</v>
      </c>
      <c r="H1" s="1" t="s">
        <v>39</v>
      </c>
      <c r="J1" s="1" t="s">
        <v>40</v>
      </c>
      <c r="M1" s="1" t="s">
        <v>7</v>
      </c>
    </row>
    <row r="2" spans="1:16" x14ac:dyDescent="0.55000000000000004">
      <c r="A2" s="1" t="s">
        <v>41</v>
      </c>
      <c r="B2" s="1" t="s">
        <v>42</v>
      </c>
      <c r="C2" s="1" t="s">
        <v>12</v>
      </c>
      <c r="D2" s="1">
        <v>160</v>
      </c>
      <c r="F2" s="1">
        <v>132</v>
      </c>
      <c r="H2" s="1">
        <v>0</v>
      </c>
      <c r="J2" s="1">
        <v>10</v>
      </c>
      <c r="M2" s="1">
        <f t="shared" ref="M2:M229" si="0">F2/D2*100</f>
        <v>82.5</v>
      </c>
      <c r="P2" s="1">
        <f>AVERAGE(D2:D42)</f>
        <v>108.90243902439025</v>
      </c>
    </row>
    <row r="3" spans="1:16" x14ac:dyDescent="0.55000000000000004">
      <c r="A3" s="1" t="s">
        <v>43</v>
      </c>
      <c r="B3" s="1" t="s">
        <v>42</v>
      </c>
      <c r="C3" s="1" t="s">
        <v>12</v>
      </c>
      <c r="D3" s="1">
        <v>185</v>
      </c>
      <c r="F3" s="1">
        <v>170</v>
      </c>
      <c r="M3" s="1">
        <f t="shared" si="0"/>
        <v>91.891891891891902</v>
      </c>
    </row>
    <row r="4" spans="1:16" x14ac:dyDescent="0.55000000000000004">
      <c r="A4" s="1" t="s">
        <v>44</v>
      </c>
      <c r="B4" s="1" t="s">
        <v>42</v>
      </c>
      <c r="C4" s="1" t="s">
        <v>12</v>
      </c>
      <c r="D4" s="1">
        <v>164</v>
      </c>
      <c r="F4" s="1">
        <v>103</v>
      </c>
      <c r="M4" s="1">
        <f t="shared" si="0"/>
        <v>62.804878048780488</v>
      </c>
    </row>
    <row r="5" spans="1:16" x14ac:dyDescent="0.55000000000000004">
      <c r="A5" s="1" t="s">
        <v>45</v>
      </c>
      <c r="B5" s="1" t="s">
        <v>42</v>
      </c>
      <c r="C5" s="1" t="s">
        <v>12</v>
      </c>
      <c r="D5" s="1">
        <v>128</v>
      </c>
      <c r="F5" s="1">
        <v>118</v>
      </c>
      <c r="M5" s="1">
        <f t="shared" si="0"/>
        <v>92.1875</v>
      </c>
    </row>
    <row r="6" spans="1:16" x14ac:dyDescent="0.55000000000000004">
      <c r="A6" s="1" t="s">
        <v>46</v>
      </c>
      <c r="B6" s="1" t="s">
        <v>42</v>
      </c>
      <c r="C6" s="1" t="s">
        <v>12</v>
      </c>
      <c r="D6" s="1">
        <v>136</v>
      </c>
      <c r="F6" s="1">
        <v>120</v>
      </c>
      <c r="M6" s="1">
        <f t="shared" si="0"/>
        <v>88.235294117647058</v>
      </c>
    </row>
    <row r="7" spans="1:16" x14ac:dyDescent="0.55000000000000004">
      <c r="A7" s="1" t="s">
        <v>47</v>
      </c>
      <c r="B7" s="1" t="s">
        <v>42</v>
      </c>
      <c r="C7" s="1" t="s">
        <v>12</v>
      </c>
      <c r="D7" s="1">
        <v>95</v>
      </c>
      <c r="F7" s="1">
        <v>70</v>
      </c>
      <c r="M7" s="1">
        <f t="shared" si="0"/>
        <v>73.68421052631578</v>
      </c>
    </row>
    <row r="8" spans="1:16" x14ac:dyDescent="0.55000000000000004">
      <c r="A8" s="1" t="s">
        <v>48</v>
      </c>
      <c r="B8" s="1" t="s">
        <v>42</v>
      </c>
      <c r="C8" s="1" t="s">
        <v>12</v>
      </c>
      <c r="D8" s="1">
        <v>108</v>
      </c>
      <c r="F8" s="1">
        <v>84</v>
      </c>
      <c r="M8" s="1">
        <f t="shared" si="0"/>
        <v>77.777777777777786</v>
      </c>
    </row>
    <row r="9" spans="1:16" x14ac:dyDescent="0.55000000000000004">
      <c r="A9" s="1" t="s">
        <v>49</v>
      </c>
      <c r="B9" s="1" t="s">
        <v>42</v>
      </c>
      <c r="C9" s="1" t="s">
        <v>12</v>
      </c>
      <c r="D9" s="1">
        <v>145</v>
      </c>
      <c r="F9" s="1">
        <v>135</v>
      </c>
      <c r="M9" s="1">
        <f t="shared" si="0"/>
        <v>93.103448275862064</v>
      </c>
    </row>
    <row r="10" spans="1:16" x14ac:dyDescent="0.55000000000000004">
      <c r="A10" s="1" t="s">
        <v>50</v>
      </c>
      <c r="B10" s="1" t="s">
        <v>42</v>
      </c>
      <c r="C10" s="1" t="s">
        <v>12</v>
      </c>
      <c r="D10" s="1">
        <v>112</v>
      </c>
      <c r="F10" s="1">
        <v>100</v>
      </c>
      <c r="M10" s="1">
        <f t="shared" si="0"/>
        <v>89.285714285714292</v>
      </c>
    </row>
    <row r="11" spans="1:16" x14ac:dyDescent="0.55000000000000004">
      <c r="A11" s="1" t="s">
        <v>51</v>
      </c>
      <c r="B11" s="1" t="s">
        <v>42</v>
      </c>
      <c r="C11" s="1" t="s">
        <v>12</v>
      </c>
      <c r="D11" s="1">
        <v>109</v>
      </c>
      <c r="F11" s="1">
        <v>102</v>
      </c>
      <c r="M11" s="1">
        <f t="shared" si="0"/>
        <v>93.577981651376149</v>
      </c>
    </row>
    <row r="12" spans="1:16" x14ac:dyDescent="0.55000000000000004">
      <c r="A12" s="1" t="s">
        <v>52</v>
      </c>
      <c r="B12" s="1" t="s">
        <v>42</v>
      </c>
      <c r="C12" s="1" t="s">
        <v>19</v>
      </c>
      <c r="D12" s="1">
        <v>114</v>
      </c>
      <c r="F12" s="1">
        <v>106</v>
      </c>
      <c r="H12" s="1">
        <v>0</v>
      </c>
      <c r="J12" s="1">
        <v>8</v>
      </c>
      <c r="M12" s="1">
        <f t="shared" si="0"/>
        <v>92.982456140350877</v>
      </c>
    </row>
    <row r="13" spans="1:16" x14ac:dyDescent="0.55000000000000004">
      <c r="A13" s="1" t="s">
        <v>53</v>
      </c>
      <c r="B13" s="1" t="s">
        <v>42</v>
      </c>
      <c r="C13" s="1" t="s">
        <v>19</v>
      </c>
      <c r="D13" s="1">
        <v>119</v>
      </c>
      <c r="F13" s="1">
        <v>103</v>
      </c>
      <c r="M13" s="1">
        <f t="shared" si="0"/>
        <v>86.554621848739501</v>
      </c>
    </row>
    <row r="14" spans="1:16" x14ac:dyDescent="0.55000000000000004">
      <c r="A14" s="1" t="s">
        <v>54</v>
      </c>
      <c r="B14" s="1" t="s">
        <v>42</v>
      </c>
      <c r="C14" s="1" t="s">
        <v>19</v>
      </c>
      <c r="D14" s="1">
        <v>135</v>
      </c>
      <c r="F14" s="1">
        <v>130</v>
      </c>
      <c r="M14" s="1">
        <f t="shared" si="0"/>
        <v>96.296296296296291</v>
      </c>
    </row>
    <row r="15" spans="1:16" x14ac:dyDescent="0.55000000000000004">
      <c r="A15" s="1" t="s">
        <v>55</v>
      </c>
      <c r="B15" s="1" t="s">
        <v>42</v>
      </c>
      <c r="C15" s="1" t="s">
        <v>19</v>
      </c>
      <c r="D15" s="1">
        <v>127</v>
      </c>
      <c r="F15" s="1">
        <v>118</v>
      </c>
      <c r="M15" s="1">
        <f t="shared" si="0"/>
        <v>92.913385826771659</v>
      </c>
    </row>
    <row r="16" spans="1:16" x14ac:dyDescent="0.55000000000000004">
      <c r="A16" s="1" t="s">
        <v>56</v>
      </c>
      <c r="B16" s="1" t="s">
        <v>42</v>
      </c>
      <c r="C16" s="1" t="s">
        <v>19</v>
      </c>
      <c r="D16" s="1">
        <v>98</v>
      </c>
      <c r="F16" s="1">
        <v>93</v>
      </c>
      <c r="M16" s="1">
        <f t="shared" si="0"/>
        <v>94.897959183673478</v>
      </c>
    </row>
    <row r="17" spans="1:13" x14ac:dyDescent="0.55000000000000004">
      <c r="A17" s="1" t="s">
        <v>57</v>
      </c>
      <c r="B17" s="1" t="s">
        <v>42</v>
      </c>
      <c r="C17" s="1" t="s">
        <v>19</v>
      </c>
      <c r="D17" s="1">
        <v>85</v>
      </c>
      <c r="F17" s="1">
        <v>81</v>
      </c>
      <c r="M17" s="1">
        <f t="shared" si="0"/>
        <v>95.294117647058812</v>
      </c>
    </row>
    <row r="18" spans="1:13" x14ac:dyDescent="0.55000000000000004">
      <c r="A18" s="1" t="s">
        <v>58</v>
      </c>
      <c r="B18" s="1" t="s">
        <v>42</v>
      </c>
      <c r="C18" s="1" t="s">
        <v>19</v>
      </c>
      <c r="D18" s="1">
        <v>82</v>
      </c>
      <c r="F18" s="1">
        <v>0</v>
      </c>
      <c r="M18" s="1">
        <f t="shared" si="0"/>
        <v>0</v>
      </c>
    </row>
    <row r="19" spans="1:13" x14ac:dyDescent="0.55000000000000004">
      <c r="A19" s="1" t="s">
        <v>59</v>
      </c>
      <c r="B19" s="1" t="s">
        <v>42</v>
      </c>
      <c r="C19" s="1" t="s">
        <v>19</v>
      </c>
      <c r="D19" s="1">
        <v>135</v>
      </c>
      <c r="F19" s="1">
        <v>113</v>
      </c>
      <c r="M19" s="1">
        <f t="shared" si="0"/>
        <v>83.703703703703695</v>
      </c>
    </row>
    <row r="20" spans="1:13" x14ac:dyDescent="0.55000000000000004">
      <c r="A20" s="1" t="s">
        <v>60</v>
      </c>
      <c r="B20" s="1" t="s">
        <v>42</v>
      </c>
      <c r="C20" s="3" t="s">
        <v>28</v>
      </c>
      <c r="D20" s="1">
        <v>131</v>
      </c>
      <c r="F20" s="1">
        <v>124</v>
      </c>
      <c r="H20" s="1">
        <v>1</v>
      </c>
      <c r="J20" s="1">
        <v>7</v>
      </c>
      <c r="M20" s="1">
        <f t="shared" si="0"/>
        <v>94.656488549618317</v>
      </c>
    </row>
    <row r="21" spans="1:13" x14ac:dyDescent="0.55000000000000004">
      <c r="A21" s="1" t="s">
        <v>61</v>
      </c>
      <c r="B21" s="1" t="s">
        <v>42</v>
      </c>
      <c r="C21" s="3" t="s">
        <v>28</v>
      </c>
      <c r="D21" s="1">
        <v>137</v>
      </c>
      <c r="F21" s="1">
        <v>125</v>
      </c>
      <c r="M21" s="1">
        <f t="shared" si="0"/>
        <v>91.240875912408754</v>
      </c>
    </row>
    <row r="22" spans="1:13" x14ac:dyDescent="0.55000000000000004">
      <c r="A22" s="1" t="s">
        <v>62</v>
      </c>
      <c r="B22" s="1" t="s">
        <v>42</v>
      </c>
      <c r="C22" s="3" t="s">
        <v>28</v>
      </c>
      <c r="D22" s="1">
        <v>119</v>
      </c>
      <c r="F22" s="1">
        <v>114</v>
      </c>
      <c r="M22" s="1">
        <f t="shared" si="0"/>
        <v>95.798319327731093</v>
      </c>
    </row>
    <row r="23" spans="1:13" x14ac:dyDescent="0.55000000000000004">
      <c r="A23" s="1" t="s">
        <v>63</v>
      </c>
      <c r="B23" s="1" t="s">
        <v>42</v>
      </c>
      <c r="C23" s="3" t="s">
        <v>28</v>
      </c>
      <c r="D23" s="1">
        <v>109</v>
      </c>
      <c r="F23" s="1">
        <v>64</v>
      </c>
      <c r="M23" s="1">
        <f t="shared" si="0"/>
        <v>58.715596330275233</v>
      </c>
    </row>
    <row r="24" spans="1:13" x14ac:dyDescent="0.55000000000000004">
      <c r="A24" s="1" t="s">
        <v>64</v>
      </c>
      <c r="B24" s="1" t="s">
        <v>42</v>
      </c>
      <c r="C24" s="3" t="s">
        <v>28</v>
      </c>
      <c r="D24" s="1">
        <v>167</v>
      </c>
      <c r="F24" s="1">
        <v>158</v>
      </c>
      <c r="M24" s="1">
        <f t="shared" si="0"/>
        <v>94.610778443113773</v>
      </c>
    </row>
    <row r="25" spans="1:13" x14ac:dyDescent="0.55000000000000004">
      <c r="A25" s="1" t="s">
        <v>65</v>
      </c>
      <c r="B25" s="1" t="s">
        <v>42</v>
      </c>
      <c r="C25" s="3" t="s">
        <v>28</v>
      </c>
      <c r="D25" s="1">
        <v>0</v>
      </c>
      <c r="F25" s="1" t="s">
        <v>66</v>
      </c>
      <c r="M25" s="1" t="e">
        <f t="shared" si="0"/>
        <v>#VALUE!</v>
      </c>
    </row>
    <row r="26" spans="1:13" x14ac:dyDescent="0.55000000000000004">
      <c r="A26" s="1" t="s">
        <v>67</v>
      </c>
      <c r="B26" s="1" t="s">
        <v>42</v>
      </c>
      <c r="C26" s="2" t="s">
        <v>29</v>
      </c>
      <c r="D26" s="1">
        <v>64</v>
      </c>
      <c r="F26" s="1">
        <v>55</v>
      </c>
      <c r="H26" s="1">
        <v>0</v>
      </c>
      <c r="J26" s="1">
        <v>8</v>
      </c>
      <c r="M26" s="1">
        <f t="shared" si="0"/>
        <v>85.9375</v>
      </c>
    </row>
    <row r="27" spans="1:13" x14ac:dyDescent="0.55000000000000004">
      <c r="A27" s="1" t="s">
        <v>68</v>
      </c>
      <c r="B27" s="1" t="s">
        <v>42</v>
      </c>
      <c r="C27" s="2" t="s">
        <v>29</v>
      </c>
      <c r="D27" s="1">
        <v>70</v>
      </c>
      <c r="F27" s="1">
        <v>65</v>
      </c>
      <c r="M27" s="1">
        <f t="shared" si="0"/>
        <v>92.857142857142861</v>
      </c>
    </row>
    <row r="28" spans="1:13" x14ac:dyDescent="0.55000000000000004">
      <c r="A28" s="1" t="s">
        <v>69</v>
      </c>
      <c r="B28" s="1" t="s">
        <v>42</v>
      </c>
      <c r="C28" s="2" t="s">
        <v>29</v>
      </c>
      <c r="D28" s="1">
        <v>164</v>
      </c>
      <c r="F28" s="1">
        <v>145</v>
      </c>
      <c r="M28" s="1">
        <f t="shared" si="0"/>
        <v>88.41463414634147</v>
      </c>
    </row>
    <row r="29" spans="1:13" x14ac:dyDescent="0.55000000000000004">
      <c r="A29" s="1" t="s">
        <v>70</v>
      </c>
      <c r="B29" s="1" t="s">
        <v>42</v>
      </c>
      <c r="C29" s="2" t="s">
        <v>29</v>
      </c>
      <c r="D29" s="1">
        <v>142</v>
      </c>
      <c r="F29" s="1">
        <v>132</v>
      </c>
      <c r="M29" s="1">
        <f t="shared" si="0"/>
        <v>92.957746478873233</v>
      </c>
    </row>
    <row r="30" spans="1:13" x14ac:dyDescent="0.55000000000000004">
      <c r="A30" s="1" t="s">
        <v>71</v>
      </c>
      <c r="B30" s="1" t="s">
        <v>42</v>
      </c>
      <c r="C30" s="2" t="s">
        <v>29</v>
      </c>
      <c r="D30" s="1">
        <v>127</v>
      </c>
      <c r="F30" s="1">
        <v>94</v>
      </c>
      <c r="M30" s="1">
        <f t="shared" si="0"/>
        <v>74.015748031496059</v>
      </c>
    </row>
    <row r="31" spans="1:13" x14ac:dyDescent="0.55000000000000004">
      <c r="A31" s="1" t="s">
        <v>72</v>
      </c>
      <c r="B31" s="1" t="s">
        <v>42</v>
      </c>
      <c r="C31" s="2" t="s">
        <v>29</v>
      </c>
      <c r="D31" s="1">
        <v>6</v>
      </c>
      <c r="F31" s="1">
        <v>2</v>
      </c>
      <c r="M31" s="1">
        <f t="shared" si="0"/>
        <v>33.333333333333329</v>
      </c>
    </row>
    <row r="32" spans="1:13" x14ac:dyDescent="0.55000000000000004">
      <c r="A32" s="1" t="s">
        <v>73</v>
      </c>
      <c r="B32" s="1" t="s">
        <v>42</v>
      </c>
      <c r="C32" s="2" t="s">
        <v>29</v>
      </c>
      <c r="D32" s="1">
        <v>70</v>
      </c>
      <c r="F32" s="1">
        <v>0</v>
      </c>
      <c r="M32" s="1">
        <f t="shared" si="0"/>
        <v>0</v>
      </c>
    </row>
    <row r="33" spans="1:16" x14ac:dyDescent="0.55000000000000004">
      <c r="A33" s="1" t="s">
        <v>74</v>
      </c>
      <c r="B33" s="1" t="s">
        <v>42</v>
      </c>
      <c r="C33" s="2" t="s">
        <v>29</v>
      </c>
      <c r="D33" s="1">
        <v>94</v>
      </c>
      <c r="F33" s="1">
        <v>85</v>
      </c>
      <c r="M33" s="1">
        <f t="shared" si="0"/>
        <v>90.425531914893625</v>
      </c>
    </row>
    <row r="34" spans="1:16" x14ac:dyDescent="0.55000000000000004">
      <c r="A34" s="1" t="s">
        <v>75</v>
      </c>
      <c r="B34" s="1" t="s">
        <v>42</v>
      </c>
      <c r="C34" s="1" t="s">
        <v>30</v>
      </c>
      <c r="D34" s="1">
        <v>97</v>
      </c>
      <c r="F34" s="1">
        <v>78</v>
      </c>
      <c r="H34" s="1">
        <v>1</v>
      </c>
      <c r="J34" s="1">
        <v>10</v>
      </c>
      <c r="M34" s="1">
        <f t="shared" si="0"/>
        <v>80.412371134020617</v>
      </c>
    </row>
    <row r="35" spans="1:16" x14ac:dyDescent="0.55000000000000004">
      <c r="A35" s="1" t="s">
        <v>76</v>
      </c>
      <c r="B35" s="1" t="s">
        <v>42</v>
      </c>
      <c r="C35" s="1" t="s">
        <v>30</v>
      </c>
      <c r="D35" s="1">
        <v>0</v>
      </c>
      <c r="F35" s="1" t="s">
        <v>66</v>
      </c>
      <c r="M35" s="1" t="e">
        <f t="shared" si="0"/>
        <v>#VALUE!</v>
      </c>
    </row>
    <row r="36" spans="1:16" x14ac:dyDescent="0.55000000000000004">
      <c r="A36" s="1" t="s">
        <v>77</v>
      </c>
      <c r="B36" s="1" t="s">
        <v>42</v>
      </c>
      <c r="C36" s="1" t="s">
        <v>30</v>
      </c>
      <c r="D36" s="1">
        <v>129</v>
      </c>
      <c r="F36" s="1">
        <v>96</v>
      </c>
      <c r="M36" s="1">
        <f t="shared" si="0"/>
        <v>74.418604651162795</v>
      </c>
    </row>
    <row r="37" spans="1:16" x14ac:dyDescent="0.55000000000000004">
      <c r="A37" s="1" t="s">
        <v>78</v>
      </c>
      <c r="B37" s="1" t="s">
        <v>42</v>
      </c>
      <c r="C37" s="1" t="s">
        <v>30</v>
      </c>
      <c r="D37" s="1">
        <v>130</v>
      </c>
      <c r="F37" s="1">
        <v>116</v>
      </c>
      <c r="M37" s="1">
        <f t="shared" si="0"/>
        <v>89.230769230769241</v>
      </c>
    </row>
    <row r="38" spans="1:16" x14ac:dyDescent="0.55000000000000004">
      <c r="A38" s="1" t="s">
        <v>79</v>
      </c>
      <c r="B38" s="1" t="s">
        <v>42</v>
      </c>
      <c r="C38" s="1" t="s">
        <v>30</v>
      </c>
      <c r="D38" s="1">
        <v>68</v>
      </c>
      <c r="F38" s="1">
        <v>27</v>
      </c>
      <c r="M38" s="1">
        <f t="shared" si="0"/>
        <v>39.705882352941174</v>
      </c>
    </row>
    <row r="39" spans="1:16" x14ac:dyDescent="0.55000000000000004">
      <c r="A39" s="1" t="s">
        <v>80</v>
      </c>
      <c r="B39" s="1" t="s">
        <v>42</v>
      </c>
      <c r="C39" s="1" t="s">
        <v>30</v>
      </c>
      <c r="D39" s="1">
        <v>113</v>
      </c>
      <c r="F39" s="1">
        <v>98</v>
      </c>
      <c r="M39" s="1">
        <f t="shared" si="0"/>
        <v>86.725663716814154</v>
      </c>
    </row>
    <row r="40" spans="1:16" x14ac:dyDescent="0.55000000000000004">
      <c r="A40" s="1" t="s">
        <v>81</v>
      </c>
      <c r="B40" s="1" t="s">
        <v>42</v>
      </c>
      <c r="C40" s="1" t="s">
        <v>30</v>
      </c>
      <c r="D40" s="1">
        <v>120</v>
      </c>
      <c r="F40" s="1">
        <v>112</v>
      </c>
      <c r="M40" s="1">
        <f t="shared" si="0"/>
        <v>93.333333333333329</v>
      </c>
    </row>
    <row r="41" spans="1:16" x14ac:dyDescent="0.55000000000000004">
      <c r="A41" s="1" t="s">
        <v>82</v>
      </c>
      <c r="B41" s="1" t="s">
        <v>42</v>
      </c>
      <c r="C41" s="1" t="s">
        <v>30</v>
      </c>
      <c r="D41" s="1">
        <v>115</v>
      </c>
      <c r="F41" s="1">
        <v>107</v>
      </c>
      <c r="M41" s="1">
        <f t="shared" si="0"/>
        <v>93.043478260869563</v>
      </c>
    </row>
    <row r="42" spans="1:16" x14ac:dyDescent="0.55000000000000004">
      <c r="A42" s="1" t="s">
        <v>83</v>
      </c>
      <c r="B42" s="1" t="s">
        <v>42</v>
      </c>
      <c r="C42" s="1" t="s">
        <v>30</v>
      </c>
      <c r="D42" s="1">
        <v>56</v>
      </c>
      <c r="F42" s="1">
        <v>45</v>
      </c>
      <c r="M42" s="1">
        <f t="shared" si="0"/>
        <v>80.357142857142861</v>
      </c>
    </row>
    <row r="43" spans="1:16" x14ac:dyDescent="0.55000000000000004">
      <c r="A43" s="1" t="s">
        <v>84</v>
      </c>
      <c r="B43" s="1" t="s">
        <v>85</v>
      </c>
      <c r="C43" s="1" t="s">
        <v>12</v>
      </c>
      <c r="D43" s="1">
        <v>171</v>
      </c>
      <c r="F43" s="1">
        <v>103</v>
      </c>
      <c r="H43" s="1">
        <v>2</v>
      </c>
      <c r="J43" s="1">
        <v>9</v>
      </c>
      <c r="M43" s="1">
        <f t="shared" si="0"/>
        <v>60.23391812865497</v>
      </c>
      <c r="P43" s="1">
        <f>AVERAGE(D43:D76)</f>
        <v>109.67647058823529</v>
      </c>
    </row>
    <row r="44" spans="1:16" x14ac:dyDescent="0.55000000000000004">
      <c r="A44" s="1" t="s">
        <v>86</v>
      </c>
      <c r="B44" s="1" t="s">
        <v>85</v>
      </c>
      <c r="C44" s="1" t="s">
        <v>12</v>
      </c>
      <c r="D44" s="1">
        <v>121</v>
      </c>
      <c r="F44" s="1">
        <v>103</v>
      </c>
      <c r="M44" s="1">
        <f t="shared" si="0"/>
        <v>85.123966942148769</v>
      </c>
    </row>
    <row r="45" spans="1:16" x14ac:dyDescent="0.55000000000000004">
      <c r="A45" s="1" t="s">
        <v>87</v>
      </c>
      <c r="B45" s="1" t="s">
        <v>85</v>
      </c>
      <c r="C45" s="1" t="s">
        <v>12</v>
      </c>
      <c r="D45" s="1">
        <v>52</v>
      </c>
      <c r="F45" s="1">
        <v>28</v>
      </c>
      <c r="M45" s="1">
        <f t="shared" si="0"/>
        <v>53.846153846153847</v>
      </c>
    </row>
    <row r="46" spans="1:16" x14ac:dyDescent="0.55000000000000004">
      <c r="A46" s="1" t="s">
        <v>88</v>
      </c>
      <c r="B46" s="1" t="s">
        <v>85</v>
      </c>
      <c r="C46" s="1" t="s">
        <v>12</v>
      </c>
      <c r="D46" s="1">
        <v>106</v>
      </c>
      <c r="F46" s="1">
        <v>98</v>
      </c>
      <c r="M46" s="1">
        <f t="shared" si="0"/>
        <v>92.452830188679243</v>
      </c>
    </row>
    <row r="47" spans="1:16" x14ac:dyDescent="0.55000000000000004">
      <c r="A47" s="1" t="s">
        <v>89</v>
      </c>
      <c r="B47" s="1" t="s">
        <v>85</v>
      </c>
      <c r="C47" s="1" t="s">
        <v>12</v>
      </c>
      <c r="D47" s="1">
        <v>174</v>
      </c>
      <c r="F47" s="1">
        <v>153</v>
      </c>
      <c r="M47" s="1">
        <f t="shared" si="0"/>
        <v>87.931034482758619</v>
      </c>
    </row>
    <row r="48" spans="1:16" x14ac:dyDescent="0.55000000000000004">
      <c r="A48" s="1" t="s">
        <v>90</v>
      </c>
      <c r="B48" s="1" t="s">
        <v>85</v>
      </c>
      <c r="C48" s="1" t="s">
        <v>12</v>
      </c>
      <c r="D48" s="1">
        <v>146</v>
      </c>
      <c r="F48" s="1">
        <v>132</v>
      </c>
      <c r="M48" s="1">
        <f t="shared" si="0"/>
        <v>90.410958904109577</v>
      </c>
    </row>
    <row r="49" spans="1:13" x14ac:dyDescent="0.55000000000000004">
      <c r="A49" s="1" t="s">
        <v>91</v>
      </c>
      <c r="B49" s="1" t="s">
        <v>85</v>
      </c>
      <c r="C49" s="1" t="s">
        <v>12</v>
      </c>
      <c r="D49" s="1">
        <v>163</v>
      </c>
      <c r="F49" s="1">
        <v>149</v>
      </c>
      <c r="M49" s="1">
        <f t="shared" si="0"/>
        <v>91.411042944785279</v>
      </c>
    </row>
    <row r="50" spans="1:13" x14ac:dyDescent="0.55000000000000004">
      <c r="A50" s="1" t="s">
        <v>92</v>
      </c>
      <c r="B50" s="1" t="s">
        <v>85</v>
      </c>
      <c r="C50" s="1" t="s">
        <v>19</v>
      </c>
      <c r="D50" s="1">
        <v>57</v>
      </c>
      <c r="F50" s="1">
        <v>49</v>
      </c>
      <c r="H50" s="1">
        <v>0</v>
      </c>
      <c r="J50" s="1">
        <v>8</v>
      </c>
      <c r="M50" s="1">
        <f t="shared" si="0"/>
        <v>85.964912280701753</v>
      </c>
    </row>
    <row r="51" spans="1:13" x14ac:dyDescent="0.55000000000000004">
      <c r="A51" s="1" t="s">
        <v>93</v>
      </c>
      <c r="B51" s="1" t="s">
        <v>85</v>
      </c>
      <c r="C51" s="1" t="s">
        <v>19</v>
      </c>
      <c r="D51" s="1">
        <v>125</v>
      </c>
      <c r="F51" s="1">
        <v>103</v>
      </c>
      <c r="M51" s="1">
        <f t="shared" si="0"/>
        <v>82.399999999999991</v>
      </c>
    </row>
    <row r="52" spans="1:13" x14ac:dyDescent="0.55000000000000004">
      <c r="A52" s="1" t="s">
        <v>94</v>
      </c>
      <c r="B52" s="1" t="s">
        <v>85</v>
      </c>
      <c r="C52" s="1" t="s">
        <v>19</v>
      </c>
      <c r="D52" s="1">
        <v>139</v>
      </c>
      <c r="F52" s="1">
        <v>132</v>
      </c>
      <c r="M52" s="1">
        <f t="shared" si="0"/>
        <v>94.964028776978409</v>
      </c>
    </row>
    <row r="53" spans="1:13" x14ac:dyDescent="0.55000000000000004">
      <c r="A53" s="1" t="s">
        <v>95</v>
      </c>
      <c r="B53" s="1" t="s">
        <v>85</v>
      </c>
      <c r="C53" s="1" t="s">
        <v>19</v>
      </c>
      <c r="D53" s="1">
        <v>61</v>
      </c>
      <c r="F53" s="1">
        <v>59</v>
      </c>
      <c r="M53" s="1">
        <f t="shared" si="0"/>
        <v>96.721311475409834</v>
      </c>
    </row>
    <row r="54" spans="1:13" x14ac:dyDescent="0.55000000000000004">
      <c r="A54" s="1" t="s">
        <v>96</v>
      </c>
      <c r="B54" s="1" t="s">
        <v>85</v>
      </c>
      <c r="C54" s="1" t="s">
        <v>19</v>
      </c>
      <c r="D54" s="1">
        <v>107</v>
      </c>
      <c r="F54" s="1">
        <v>95</v>
      </c>
      <c r="M54" s="1">
        <f t="shared" si="0"/>
        <v>88.785046728971963</v>
      </c>
    </row>
    <row r="55" spans="1:13" x14ac:dyDescent="0.55000000000000004">
      <c r="A55" s="1" t="s">
        <v>97</v>
      </c>
      <c r="B55" s="1" t="s">
        <v>85</v>
      </c>
      <c r="C55" s="1" t="s">
        <v>19</v>
      </c>
      <c r="D55" s="1">
        <v>117</v>
      </c>
      <c r="F55" s="1">
        <v>84</v>
      </c>
      <c r="M55" s="1">
        <f t="shared" si="0"/>
        <v>71.794871794871796</v>
      </c>
    </row>
    <row r="56" spans="1:13" x14ac:dyDescent="0.55000000000000004">
      <c r="A56" s="1" t="s">
        <v>98</v>
      </c>
      <c r="B56" s="1" t="s">
        <v>85</v>
      </c>
      <c r="C56" s="1" t="s">
        <v>19</v>
      </c>
      <c r="D56" s="1">
        <v>151</v>
      </c>
      <c r="F56" s="1">
        <v>117</v>
      </c>
      <c r="M56" s="1">
        <f t="shared" si="0"/>
        <v>77.483443708609272</v>
      </c>
    </row>
    <row r="57" spans="1:13" x14ac:dyDescent="0.55000000000000004">
      <c r="A57" s="1" t="s">
        <v>99</v>
      </c>
      <c r="B57" s="1" t="s">
        <v>85</v>
      </c>
      <c r="C57" s="1" t="s">
        <v>19</v>
      </c>
      <c r="D57" s="1">
        <v>150</v>
      </c>
      <c r="F57" s="1">
        <v>141</v>
      </c>
      <c r="M57" s="1">
        <f t="shared" si="0"/>
        <v>94</v>
      </c>
    </row>
    <row r="58" spans="1:13" x14ac:dyDescent="0.55000000000000004">
      <c r="A58" s="1" t="s">
        <v>100</v>
      </c>
      <c r="B58" s="1" t="s">
        <v>85</v>
      </c>
      <c r="C58" s="1" t="s">
        <v>28</v>
      </c>
      <c r="D58" s="1">
        <v>109</v>
      </c>
      <c r="F58" s="1">
        <v>94</v>
      </c>
      <c r="H58" s="1">
        <v>1</v>
      </c>
      <c r="J58" s="1">
        <v>9</v>
      </c>
      <c r="M58" s="1">
        <f t="shared" si="0"/>
        <v>86.238532110091754</v>
      </c>
    </row>
    <row r="59" spans="1:13" x14ac:dyDescent="0.55000000000000004">
      <c r="A59" s="1" t="s">
        <v>101</v>
      </c>
      <c r="B59" s="1" t="s">
        <v>85</v>
      </c>
      <c r="C59" s="1" t="s">
        <v>28</v>
      </c>
      <c r="D59" s="1">
        <v>81</v>
      </c>
      <c r="F59" s="1">
        <v>73</v>
      </c>
      <c r="M59" s="1">
        <f t="shared" si="0"/>
        <v>90.123456790123456</v>
      </c>
    </row>
    <row r="60" spans="1:13" x14ac:dyDescent="0.55000000000000004">
      <c r="A60" s="1" t="s">
        <v>102</v>
      </c>
      <c r="B60" s="1" t="s">
        <v>85</v>
      </c>
      <c r="C60" s="1" t="s">
        <v>28</v>
      </c>
      <c r="D60" s="1">
        <v>105</v>
      </c>
      <c r="F60" s="1">
        <v>94</v>
      </c>
      <c r="M60" s="1">
        <f t="shared" si="0"/>
        <v>89.523809523809533</v>
      </c>
    </row>
    <row r="61" spans="1:13" x14ac:dyDescent="0.55000000000000004">
      <c r="A61" s="1" t="s">
        <v>103</v>
      </c>
      <c r="B61" s="1" t="s">
        <v>85</v>
      </c>
      <c r="C61" s="1" t="s">
        <v>28</v>
      </c>
      <c r="D61" s="1">
        <v>80</v>
      </c>
      <c r="F61" s="1">
        <v>77</v>
      </c>
      <c r="M61" s="1">
        <f t="shared" si="0"/>
        <v>96.25</v>
      </c>
    </row>
    <row r="62" spans="1:13" x14ac:dyDescent="0.55000000000000004">
      <c r="A62" s="1" t="s">
        <v>104</v>
      </c>
      <c r="B62" s="1" t="s">
        <v>85</v>
      </c>
      <c r="C62" s="1" t="s">
        <v>28</v>
      </c>
      <c r="D62" s="1">
        <v>113</v>
      </c>
      <c r="F62" s="1">
        <v>91</v>
      </c>
      <c r="M62" s="1">
        <f t="shared" si="0"/>
        <v>80.530973451327441</v>
      </c>
    </row>
    <row r="63" spans="1:13" x14ac:dyDescent="0.55000000000000004">
      <c r="A63" s="1" t="s">
        <v>105</v>
      </c>
      <c r="B63" s="1" t="s">
        <v>85</v>
      </c>
      <c r="C63" s="1" t="s">
        <v>28</v>
      </c>
      <c r="D63" s="1">
        <v>85</v>
      </c>
      <c r="F63" s="1">
        <v>60</v>
      </c>
      <c r="M63" s="1">
        <f t="shared" si="0"/>
        <v>70.588235294117652</v>
      </c>
    </row>
    <row r="64" spans="1:13" x14ac:dyDescent="0.55000000000000004">
      <c r="A64" s="1" t="s">
        <v>106</v>
      </c>
      <c r="B64" s="1" t="s">
        <v>85</v>
      </c>
      <c r="C64" s="1" t="s">
        <v>28</v>
      </c>
      <c r="D64" s="1">
        <v>53</v>
      </c>
      <c r="F64" s="1">
        <v>27</v>
      </c>
      <c r="M64" s="1">
        <f t="shared" si="0"/>
        <v>50.943396226415096</v>
      </c>
    </row>
    <row r="65" spans="1:16" x14ac:dyDescent="0.55000000000000004">
      <c r="A65" s="1" t="s">
        <v>107</v>
      </c>
      <c r="B65" s="1" t="s">
        <v>85</v>
      </c>
      <c r="C65" s="1" t="s">
        <v>28</v>
      </c>
      <c r="D65" s="1">
        <v>90</v>
      </c>
      <c r="F65" s="1">
        <v>84</v>
      </c>
      <c r="M65" s="1">
        <f t="shared" si="0"/>
        <v>93.333333333333329</v>
      </c>
    </row>
    <row r="66" spans="1:16" x14ac:dyDescent="0.55000000000000004">
      <c r="A66" s="1" t="s">
        <v>108</v>
      </c>
      <c r="B66" s="1" t="s">
        <v>85</v>
      </c>
      <c r="C66" s="1" t="s">
        <v>29</v>
      </c>
      <c r="D66" s="1">
        <v>0</v>
      </c>
      <c r="F66" s="1" t="s">
        <v>66</v>
      </c>
      <c r="H66" s="1">
        <v>3</v>
      </c>
      <c r="J66" s="1">
        <v>9</v>
      </c>
      <c r="M66" s="1" t="e">
        <f t="shared" si="0"/>
        <v>#VALUE!</v>
      </c>
    </row>
    <row r="67" spans="1:16" x14ac:dyDescent="0.55000000000000004">
      <c r="A67" s="1" t="s">
        <v>109</v>
      </c>
      <c r="B67" s="1" t="s">
        <v>85</v>
      </c>
      <c r="C67" s="1" t="s">
        <v>29</v>
      </c>
      <c r="D67" s="1">
        <v>79</v>
      </c>
      <c r="F67" s="1">
        <v>49</v>
      </c>
      <c r="M67" s="1">
        <f t="shared" si="0"/>
        <v>62.025316455696199</v>
      </c>
    </row>
    <row r="68" spans="1:16" x14ac:dyDescent="0.55000000000000004">
      <c r="A68" s="1" t="s">
        <v>110</v>
      </c>
      <c r="B68" s="1" t="s">
        <v>85</v>
      </c>
      <c r="C68" s="1" t="s">
        <v>29</v>
      </c>
      <c r="D68" s="1">
        <v>153</v>
      </c>
      <c r="F68" s="1">
        <v>140</v>
      </c>
      <c r="M68" s="1">
        <f t="shared" si="0"/>
        <v>91.503267973856211</v>
      </c>
    </row>
    <row r="69" spans="1:16" x14ac:dyDescent="0.55000000000000004">
      <c r="A69" s="1" t="s">
        <v>111</v>
      </c>
      <c r="B69" s="1" t="s">
        <v>85</v>
      </c>
      <c r="C69" s="1" t="s">
        <v>29</v>
      </c>
      <c r="D69" s="1">
        <v>85</v>
      </c>
      <c r="F69" s="1">
        <v>78</v>
      </c>
      <c r="M69" s="1">
        <f t="shared" si="0"/>
        <v>91.764705882352942</v>
      </c>
    </row>
    <row r="70" spans="1:16" x14ac:dyDescent="0.55000000000000004">
      <c r="A70" s="1" t="s">
        <v>112</v>
      </c>
      <c r="B70" s="1" t="s">
        <v>85</v>
      </c>
      <c r="C70" s="1" t="s">
        <v>29</v>
      </c>
      <c r="D70" s="1">
        <v>153</v>
      </c>
      <c r="F70" s="1">
        <v>137</v>
      </c>
      <c r="M70" s="1">
        <f t="shared" si="0"/>
        <v>89.542483660130728</v>
      </c>
    </row>
    <row r="71" spans="1:16" x14ac:dyDescent="0.55000000000000004">
      <c r="A71" s="1" t="s">
        <v>113</v>
      </c>
      <c r="B71" s="1" t="s">
        <v>85</v>
      </c>
      <c r="C71" s="1" t="s">
        <v>29</v>
      </c>
      <c r="D71" s="1">
        <v>172</v>
      </c>
      <c r="F71" s="1">
        <v>124</v>
      </c>
      <c r="M71" s="1">
        <f t="shared" si="0"/>
        <v>72.093023255813947</v>
      </c>
    </row>
    <row r="72" spans="1:16" x14ac:dyDescent="0.55000000000000004">
      <c r="A72" s="1" t="s">
        <v>114</v>
      </c>
      <c r="B72" s="1" t="s">
        <v>85</v>
      </c>
      <c r="C72" s="1" t="s">
        <v>30</v>
      </c>
      <c r="D72" s="1">
        <v>133</v>
      </c>
      <c r="F72" s="1">
        <v>6</v>
      </c>
      <c r="H72" s="1">
        <v>1</v>
      </c>
      <c r="J72" s="1">
        <v>6</v>
      </c>
      <c r="M72" s="1">
        <f t="shared" si="0"/>
        <v>4.5112781954887211</v>
      </c>
    </row>
    <row r="73" spans="1:16" x14ac:dyDescent="0.55000000000000004">
      <c r="A73" s="1" t="s">
        <v>115</v>
      </c>
      <c r="B73" s="1" t="s">
        <v>85</v>
      </c>
      <c r="C73" s="1" t="s">
        <v>30</v>
      </c>
      <c r="D73" s="1">
        <v>100</v>
      </c>
      <c r="F73" s="1">
        <v>78</v>
      </c>
      <c r="M73" s="1">
        <f t="shared" si="0"/>
        <v>78</v>
      </c>
    </row>
    <row r="74" spans="1:16" x14ac:dyDescent="0.55000000000000004">
      <c r="A74" s="1" t="s">
        <v>116</v>
      </c>
      <c r="B74" s="1" t="s">
        <v>85</v>
      </c>
      <c r="C74" s="1" t="s">
        <v>30</v>
      </c>
      <c r="D74" s="1">
        <v>79</v>
      </c>
      <c r="F74" s="1">
        <v>70</v>
      </c>
      <c r="M74" s="1">
        <f t="shared" si="0"/>
        <v>88.60759493670885</v>
      </c>
    </row>
    <row r="75" spans="1:16" x14ac:dyDescent="0.55000000000000004">
      <c r="A75" s="1" t="s">
        <v>117</v>
      </c>
      <c r="B75" s="1" t="s">
        <v>85</v>
      </c>
      <c r="C75" s="1" t="s">
        <v>30</v>
      </c>
      <c r="D75" s="1">
        <v>104</v>
      </c>
      <c r="F75" s="1">
        <v>98</v>
      </c>
      <c r="M75" s="1">
        <f t="shared" si="0"/>
        <v>94.230769230769226</v>
      </c>
    </row>
    <row r="76" spans="1:16" x14ac:dyDescent="0.55000000000000004">
      <c r="A76" s="1" t="s">
        <v>118</v>
      </c>
      <c r="B76" s="1" t="s">
        <v>85</v>
      </c>
      <c r="C76" s="1" t="s">
        <v>30</v>
      </c>
      <c r="D76" s="1">
        <v>115</v>
      </c>
      <c r="F76" s="1">
        <v>80</v>
      </c>
      <c r="M76" s="1">
        <f t="shared" si="0"/>
        <v>69.565217391304344</v>
      </c>
    </row>
    <row r="77" spans="1:16" x14ac:dyDescent="0.55000000000000004">
      <c r="A77" s="1" t="s">
        <v>119</v>
      </c>
      <c r="B77" s="1" t="s">
        <v>120</v>
      </c>
      <c r="C77" s="1" t="s">
        <v>12</v>
      </c>
      <c r="D77" s="1">
        <v>0</v>
      </c>
      <c r="F77" s="1" t="s">
        <v>66</v>
      </c>
      <c r="H77" s="1">
        <v>0</v>
      </c>
      <c r="J77" s="1">
        <v>10</v>
      </c>
      <c r="M77" s="1" t="e">
        <f t="shared" si="0"/>
        <v>#VALUE!</v>
      </c>
      <c r="P77" s="1">
        <f>AVERAGE(D77:D124)</f>
        <v>89.375</v>
      </c>
    </row>
    <row r="78" spans="1:16" x14ac:dyDescent="0.55000000000000004">
      <c r="A78" s="1" t="s">
        <v>121</v>
      </c>
      <c r="B78" s="1" t="s">
        <v>120</v>
      </c>
      <c r="C78" s="1" t="s">
        <v>12</v>
      </c>
      <c r="D78" s="1">
        <v>62</v>
      </c>
      <c r="F78" s="1">
        <v>13</v>
      </c>
      <c r="M78" s="1">
        <f t="shared" si="0"/>
        <v>20.967741935483872</v>
      </c>
    </row>
    <row r="79" spans="1:16" x14ac:dyDescent="0.55000000000000004">
      <c r="A79" s="1" t="s">
        <v>122</v>
      </c>
      <c r="B79" s="1" t="s">
        <v>120</v>
      </c>
      <c r="C79" s="1" t="s">
        <v>12</v>
      </c>
      <c r="D79" s="1">
        <v>133</v>
      </c>
      <c r="F79" s="1">
        <v>122</v>
      </c>
      <c r="M79" s="1">
        <f t="shared" si="0"/>
        <v>91.729323308270665</v>
      </c>
    </row>
    <row r="80" spans="1:16" x14ac:dyDescent="0.55000000000000004">
      <c r="A80" s="1" t="s">
        <v>123</v>
      </c>
      <c r="B80" s="1" t="s">
        <v>120</v>
      </c>
      <c r="C80" s="1" t="s">
        <v>12</v>
      </c>
      <c r="D80" s="1">
        <v>0</v>
      </c>
      <c r="F80" s="1" t="s">
        <v>66</v>
      </c>
      <c r="M80" s="1" t="e">
        <f t="shared" si="0"/>
        <v>#VALUE!</v>
      </c>
    </row>
    <row r="81" spans="1:13" x14ac:dyDescent="0.55000000000000004">
      <c r="A81" s="1" t="s">
        <v>124</v>
      </c>
      <c r="B81" s="1" t="s">
        <v>120</v>
      </c>
      <c r="C81" s="1" t="s">
        <v>12</v>
      </c>
      <c r="D81" s="1">
        <v>0</v>
      </c>
      <c r="F81" s="1" t="s">
        <v>66</v>
      </c>
      <c r="M81" s="1" t="e">
        <f t="shared" si="0"/>
        <v>#VALUE!</v>
      </c>
    </row>
    <row r="82" spans="1:13" x14ac:dyDescent="0.55000000000000004">
      <c r="A82" s="1" t="s">
        <v>125</v>
      </c>
      <c r="B82" s="1" t="s">
        <v>120</v>
      </c>
      <c r="C82" s="1" t="s">
        <v>12</v>
      </c>
      <c r="D82" s="1">
        <v>53</v>
      </c>
      <c r="F82" s="1">
        <v>48</v>
      </c>
      <c r="M82" s="1">
        <f t="shared" si="0"/>
        <v>90.566037735849065</v>
      </c>
    </row>
    <row r="83" spans="1:13" x14ac:dyDescent="0.55000000000000004">
      <c r="A83" s="1" t="s">
        <v>126</v>
      </c>
      <c r="B83" s="1" t="s">
        <v>120</v>
      </c>
      <c r="C83" s="1" t="s">
        <v>12</v>
      </c>
      <c r="D83" s="1">
        <v>72</v>
      </c>
      <c r="F83" s="1">
        <v>57</v>
      </c>
      <c r="M83" s="1">
        <f t="shared" si="0"/>
        <v>79.166666666666657</v>
      </c>
    </row>
    <row r="84" spans="1:13" x14ac:dyDescent="0.55000000000000004">
      <c r="A84" s="1" t="s">
        <v>127</v>
      </c>
      <c r="B84" s="1" t="s">
        <v>120</v>
      </c>
      <c r="C84" s="1" t="s">
        <v>12</v>
      </c>
      <c r="D84" s="1">
        <v>34</v>
      </c>
      <c r="F84" s="1">
        <v>26</v>
      </c>
      <c r="M84" s="1">
        <f t="shared" si="0"/>
        <v>76.470588235294116</v>
      </c>
    </row>
    <row r="85" spans="1:13" x14ac:dyDescent="0.55000000000000004">
      <c r="A85" s="1" t="s">
        <v>128</v>
      </c>
      <c r="B85" s="1" t="s">
        <v>120</v>
      </c>
      <c r="C85" s="1" t="s">
        <v>12</v>
      </c>
      <c r="D85" s="1">
        <v>112</v>
      </c>
      <c r="F85" s="1">
        <v>103</v>
      </c>
      <c r="M85" s="1">
        <f t="shared" si="0"/>
        <v>91.964285714285708</v>
      </c>
    </row>
    <row r="86" spans="1:13" x14ac:dyDescent="0.55000000000000004">
      <c r="A86" s="1" t="s">
        <v>129</v>
      </c>
      <c r="B86" s="1" t="s">
        <v>120</v>
      </c>
      <c r="C86" s="1" t="s">
        <v>12</v>
      </c>
      <c r="D86" s="1">
        <v>138</v>
      </c>
      <c r="F86" s="1">
        <v>120</v>
      </c>
      <c r="M86" s="1">
        <f t="shared" si="0"/>
        <v>86.956521739130437</v>
      </c>
    </row>
    <row r="87" spans="1:13" x14ac:dyDescent="0.55000000000000004">
      <c r="A87" s="1" t="s">
        <v>130</v>
      </c>
      <c r="B87" s="1" t="s">
        <v>120</v>
      </c>
      <c r="C87" s="1" t="s">
        <v>19</v>
      </c>
      <c r="D87" s="1">
        <v>59</v>
      </c>
      <c r="F87" s="1">
        <v>53</v>
      </c>
      <c r="H87" s="1">
        <v>0</v>
      </c>
      <c r="J87" s="1">
        <v>10</v>
      </c>
      <c r="M87" s="1">
        <f t="shared" si="0"/>
        <v>89.830508474576277</v>
      </c>
    </row>
    <row r="88" spans="1:13" x14ac:dyDescent="0.55000000000000004">
      <c r="A88" s="1" t="s">
        <v>131</v>
      </c>
      <c r="B88" s="1" t="s">
        <v>120</v>
      </c>
      <c r="C88" s="1" t="s">
        <v>19</v>
      </c>
      <c r="D88" s="1">
        <v>0</v>
      </c>
      <c r="F88" s="1" t="s">
        <v>66</v>
      </c>
      <c r="M88" s="1" t="e">
        <f t="shared" si="0"/>
        <v>#VALUE!</v>
      </c>
    </row>
    <row r="89" spans="1:13" x14ac:dyDescent="0.55000000000000004">
      <c r="A89" s="1" t="s">
        <v>132</v>
      </c>
      <c r="B89" s="1" t="s">
        <v>120</v>
      </c>
      <c r="C89" s="1" t="s">
        <v>19</v>
      </c>
      <c r="D89" s="1">
        <v>99</v>
      </c>
      <c r="F89" s="1">
        <v>87</v>
      </c>
      <c r="M89" s="1">
        <f t="shared" si="0"/>
        <v>87.878787878787875</v>
      </c>
    </row>
    <row r="90" spans="1:13" x14ac:dyDescent="0.55000000000000004">
      <c r="A90" s="1" t="s">
        <v>133</v>
      </c>
      <c r="B90" s="1" t="s">
        <v>120</v>
      </c>
      <c r="C90" s="1" t="s">
        <v>19</v>
      </c>
      <c r="D90" s="1">
        <v>0</v>
      </c>
      <c r="F90" s="1" t="s">
        <v>66</v>
      </c>
      <c r="M90" s="1" t="e">
        <f t="shared" si="0"/>
        <v>#VALUE!</v>
      </c>
    </row>
    <row r="91" spans="1:13" x14ac:dyDescent="0.55000000000000004">
      <c r="A91" s="1" t="s">
        <v>134</v>
      </c>
      <c r="B91" s="1" t="s">
        <v>120</v>
      </c>
      <c r="C91" s="1" t="s">
        <v>19</v>
      </c>
      <c r="D91" s="1">
        <v>37</v>
      </c>
      <c r="F91" s="1">
        <v>31</v>
      </c>
      <c r="M91" s="1">
        <f t="shared" si="0"/>
        <v>83.78378378378379</v>
      </c>
    </row>
    <row r="92" spans="1:13" x14ac:dyDescent="0.55000000000000004">
      <c r="A92" s="1" t="s">
        <v>135</v>
      </c>
      <c r="B92" s="1" t="s">
        <v>120</v>
      </c>
      <c r="C92" s="1" t="s">
        <v>19</v>
      </c>
      <c r="D92" s="1">
        <v>78</v>
      </c>
      <c r="F92" s="1">
        <v>71</v>
      </c>
      <c r="M92" s="1">
        <f t="shared" si="0"/>
        <v>91.025641025641022</v>
      </c>
    </row>
    <row r="93" spans="1:13" x14ac:dyDescent="0.55000000000000004">
      <c r="A93" s="1" t="s">
        <v>136</v>
      </c>
      <c r="B93" s="1" t="s">
        <v>120</v>
      </c>
      <c r="C93" s="1" t="s">
        <v>19</v>
      </c>
      <c r="D93" s="1">
        <v>118</v>
      </c>
      <c r="F93" s="1">
        <v>98</v>
      </c>
      <c r="M93" s="1">
        <f t="shared" si="0"/>
        <v>83.050847457627114</v>
      </c>
    </row>
    <row r="94" spans="1:13" x14ac:dyDescent="0.55000000000000004">
      <c r="A94" s="1" t="s">
        <v>137</v>
      </c>
      <c r="B94" s="1" t="s">
        <v>120</v>
      </c>
      <c r="C94" s="1" t="s">
        <v>19</v>
      </c>
      <c r="D94" s="1">
        <v>82</v>
      </c>
      <c r="F94" s="1">
        <v>36</v>
      </c>
      <c r="M94" s="1">
        <f t="shared" si="0"/>
        <v>43.902439024390247</v>
      </c>
    </row>
    <row r="95" spans="1:13" x14ac:dyDescent="0.55000000000000004">
      <c r="A95" s="1" t="s">
        <v>138</v>
      </c>
      <c r="B95" s="1" t="s">
        <v>120</v>
      </c>
      <c r="C95" s="1" t="s">
        <v>19</v>
      </c>
      <c r="D95" s="1">
        <v>25</v>
      </c>
      <c r="F95" s="1">
        <v>14</v>
      </c>
      <c r="M95" s="1">
        <f t="shared" si="0"/>
        <v>56.000000000000007</v>
      </c>
    </row>
    <row r="96" spans="1:13" x14ac:dyDescent="0.55000000000000004">
      <c r="A96" s="1" t="s">
        <v>139</v>
      </c>
      <c r="B96" s="1" t="s">
        <v>120</v>
      </c>
      <c r="C96" s="1" t="s">
        <v>19</v>
      </c>
      <c r="D96" s="1">
        <v>98</v>
      </c>
      <c r="F96" s="1">
        <v>88</v>
      </c>
      <c r="M96" s="1">
        <f t="shared" si="0"/>
        <v>89.795918367346943</v>
      </c>
    </row>
    <row r="97" spans="1:13" x14ac:dyDescent="0.55000000000000004">
      <c r="A97" s="1" t="s">
        <v>140</v>
      </c>
      <c r="B97" s="1" t="s">
        <v>120</v>
      </c>
      <c r="C97" s="1" t="s">
        <v>28</v>
      </c>
      <c r="D97" s="1">
        <v>145</v>
      </c>
      <c r="F97" s="1">
        <v>138</v>
      </c>
      <c r="H97" s="1">
        <v>1</v>
      </c>
      <c r="J97" s="1">
        <v>10</v>
      </c>
      <c r="M97" s="1">
        <f t="shared" si="0"/>
        <v>95.172413793103445</v>
      </c>
    </row>
    <row r="98" spans="1:13" x14ac:dyDescent="0.55000000000000004">
      <c r="A98" s="1" t="s">
        <v>141</v>
      </c>
      <c r="B98" s="1" t="s">
        <v>120</v>
      </c>
      <c r="C98" s="1" t="s">
        <v>28</v>
      </c>
      <c r="D98" s="1">
        <v>36</v>
      </c>
      <c r="F98" s="1">
        <v>13</v>
      </c>
      <c r="M98" s="1">
        <f t="shared" si="0"/>
        <v>36.111111111111107</v>
      </c>
    </row>
    <row r="99" spans="1:13" x14ac:dyDescent="0.55000000000000004">
      <c r="A99" s="1" t="s">
        <v>142</v>
      </c>
      <c r="B99" s="1" t="s">
        <v>120</v>
      </c>
      <c r="C99" s="1" t="s">
        <v>28</v>
      </c>
      <c r="D99" s="1">
        <v>157</v>
      </c>
      <c r="F99" s="1">
        <v>147</v>
      </c>
      <c r="M99" s="1">
        <f t="shared" si="0"/>
        <v>93.630573248407643</v>
      </c>
    </row>
    <row r="100" spans="1:13" x14ac:dyDescent="0.55000000000000004">
      <c r="A100" s="1" t="s">
        <v>143</v>
      </c>
      <c r="B100" s="1" t="s">
        <v>120</v>
      </c>
      <c r="C100" s="1" t="s">
        <v>28</v>
      </c>
      <c r="D100" s="1">
        <v>10</v>
      </c>
      <c r="F100" s="1">
        <v>5</v>
      </c>
      <c r="M100" s="1">
        <f t="shared" si="0"/>
        <v>50</v>
      </c>
    </row>
    <row r="101" spans="1:13" x14ac:dyDescent="0.55000000000000004">
      <c r="A101" s="1" t="s">
        <v>144</v>
      </c>
      <c r="B101" s="1" t="s">
        <v>120</v>
      </c>
      <c r="C101" s="1" t="s">
        <v>28</v>
      </c>
      <c r="D101" s="1">
        <v>173</v>
      </c>
      <c r="F101" s="1">
        <v>134</v>
      </c>
      <c r="M101" s="1">
        <f t="shared" si="0"/>
        <v>77.456647398843927</v>
      </c>
    </row>
    <row r="102" spans="1:13" x14ac:dyDescent="0.55000000000000004">
      <c r="A102" s="1" t="s">
        <v>145</v>
      </c>
      <c r="B102" s="1" t="s">
        <v>120</v>
      </c>
      <c r="C102" s="1" t="s">
        <v>28</v>
      </c>
      <c r="D102" s="1">
        <v>185</v>
      </c>
      <c r="F102" s="1">
        <v>165</v>
      </c>
      <c r="M102" s="1">
        <f t="shared" si="0"/>
        <v>89.189189189189193</v>
      </c>
    </row>
    <row r="103" spans="1:13" x14ac:dyDescent="0.55000000000000004">
      <c r="A103" s="1" t="s">
        <v>146</v>
      </c>
      <c r="B103" s="1" t="s">
        <v>120</v>
      </c>
      <c r="C103" s="1" t="s">
        <v>28</v>
      </c>
      <c r="D103" s="1">
        <v>122</v>
      </c>
      <c r="F103" s="1">
        <v>112</v>
      </c>
      <c r="M103" s="1">
        <f t="shared" si="0"/>
        <v>91.803278688524586</v>
      </c>
    </row>
    <row r="104" spans="1:13" x14ac:dyDescent="0.55000000000000004">
      <c r="A104" s="1" t="s">
        <v>147</v>
      </c>
      <c r="B104" s="1" t="s">
        <v>120</v>
      </c>
      <c r="C104" s="1" t="s">
        <v>28</v>
      </c>
      <c r="D104" s="1">
        <v>0</v>
      </c>
      <c r="F104" s="1" t="s">
        <v>66</v>
      </c>
      <c r="M104" s="1" t="e">
        <f t="shared" si="0"/>
        <v>#VALUE!</v>
      </c>
    </row>
    <row r="105" spans="1:13" x14ac:dyDescent="0.55000000000000004">
      <c r="A105" s="1" t="s">
        <v>148</v>
      </c>
      <c r="B105" s="1" t="s">
        <v>120</v>
      </c>
      <c r="C105" s="1" t="s">
        <v>28</v>
      </c>
      <c r="D105" s="1">
        <v>179</v>
      </c>
      <c r="F105" s="1">
        <v>149</v>
      </c>
      <c r="M105" s="1">
        <f t="shared" si="0"/>
        <v>83.240223463687144</v>
      </c>
    </row>
    <row r="106" spans="1:13" x14ac:dyDescent="0.55000000000000004">
      <c r="A106" s="1" t="s">
        <v>149</v>
      </c>
      <c r="B106" s="1" t="s">
        <v>120</v>
      </c>
      <c r="C106" s="1" t="s">
        <v>29</v>
      </c>
      <c r="D106" s="1">
        <v>116</v>
      </c>
      <c r="F106" s="1">
        <v>108</v>
      </c>
      <c r="H106" s="1">
        <v>0</v>
      </c>
      <c r="J106" s="1">
        <v>10</v>
      </c>
      <c r="M106" s="1">
        <f t="shared" si="0"/>
        <v>93.103448275862064</v>
      </c>
    </row>
    <row r="107" spans="1:13" x14ac:dyDescent="0.55000000000000004">
      <c r="A107" s="1" t="s">
        <v>150</v>
      </c>
      <c r="B107" s="1" t="s">
        <v>120</v>
      </c>
      <c r="C107" s="1" t="s">
        <v>29</v>
      </c>
      <c r="D107" s="1">
        <v>94</v>
      </c>
      <c r="F107" s="1">
        <v>52</v>
      </c>
      <c r="M107" s="1">
        <f t="shared" si="0"/>
        <v>55.319148936170215</v>
      </c>
    </row>
    <row r="108" spans="1:13" x14ac:dyDescent="0.55000000000000004">
      <c r="A108" s="1" t="s">
        <v>151</v>
      </c>
      <c r="B108" s="1" t="s">
        <v>120</v>
      </c>
      <c r="C108" s="1" t="s">
        <v>29</v>
      </c>
      <c r="D108" s="1">
        <v>151</v>
      </c>
      <c r="F108" s="1">
        <v>133</v>
      </c>
      <c r="M108" s="1">
        <f t="shared" si="0"/>
        <v>88.079470198675494</v>
      </c>
    </row>
    <row r="109" spans="1:13" x14ac:dyDescent="0.55000000000000004">
      <c r="A109" s="1" t="s">
        <v>152</v>
      </c>
      <c r="B109" s="1" t="s">
        <v>120</v>
      </c>
      <c r="C109" s="1" t="s">
        <v>29</v>
      </c>
      <c r="D109" s="1">
        <v>123</v>
      </c>
      <c r="F109" s="1">
        <v>63</v>
      </c>
      <c r="M109" s="1">
        <f t="shared" si="0"/>
        <v>51.219512195121951</v>
      </c>
    </row>
    <row r="110" spans="1:13" x14ac:dyDescent="0.55000000000000004">
      <c r="A110" s="1" t="s">
        <v>153</v>
      </c>
      <c r="B110" s="1" t="s">
        <v>120</v>
      </c>
      <c r="C110" s="1" t="s">
        <v>29</v>
      </c>
      <c r="D110" s="1">
        <v>101</v>
      </c>
      <c r="F110" s="1">
        <v>86</v>
      </c>
      <c r="M110" s="1">
        <f t="shared" si="0"/>
        <v>85.148514851485146</v>
      </c>
    </row>
    <row r="111" spans="1:13" x14ac:dyDescent="0.55000000000000004">
      <c r="A111" s="1" t="s">
        <v>154</v>
      </c>
      <c r="B111" s="1" t="s">
        <v>120</v>
      </c>
      <c r="C111" s="1" t="s">
        <v>29</v>
      </c>
      <c r="D111" s="1">
        <v>93</v>
      </c>
      <c r="F111" s="1">
        <v>86</v>
      </c>
      <c r="M111" s="1">
        <f t="shared" si="0"/>
        <v>92.473118279569889</v>
      </c>
    </row>
    <row r="112" spans="1:13" x14ac:dyDescent="0.55000000000000004">
      <c r="A112" s="1" t="s">
        <v>155</v>
      </c>
      <c r="B112" s="1" t="s">
        <v>120</v>
      </c>
      <c r="C112" s="1" t="s">
        <v>29</v>
      </c>
      <c r="D112" s="1">
        <v>137</v>
      </c>
      <c r="F112" s="1">
        <v>38</v>
      </c>
      <c r="M112" s="1">
        <f t="shared" si="0"/>
        <v>27.737226277372262</v>
      </c>
    </row>
    <row r="113" spans="1:16" x14ac:dyDescent="0.55000000000000004">
      <c r="A113" s="1" t="s">
        <v>156</v>
      </c>
      <c r="B113" s="1" t="s">
        <v>120</v>
      </c>
      <c r="C113" s="1" t="s">
        <v>29</v>
      </c>
      <c r="D113" s="1">
        <v>157</v>
      </c>
      <c r="F113" s="1">
        <v>136</v>
      </c>
      <c r="M113" s="1">
        <f t="shared" si="0"/>
        <v>86.624203821656053</v>
      </c>
    </row>
    <row r="114" spans="1:16" x14ac:dyDescent="0.55000000000000004">
      <c r="A114" s="1" t="s">
        <v>157</v>
      </c>
      <c r="B114" s="1" t="s">
        <v>120</v>
      </c>
      <c r="C114" s="1" t="s">
        <v>29</v>
      </c>
      <c r="D114" s="1">
        <v>114</v>
      </c>
      <c r="F114" s="1">
        <v>106</v>
      </c>
      <c r="M114" s="1">
        <f t="shared" si="0"/>
        <v>92.982456140350877</v>
      </c>
    </row>
    <row r="115" spans="1:16" x14ac:dyDescent="0.55000000000000004">
      <c r="A115" s="1" t="s">
        <v>158</v>
      </c>
      <c r="B115" s="1" t="s">
        <v>120</v>
      </c>
      <c r="C115" s="1" t="s">
        <v>29</v>
      </c>
      <c r="D115" s="1">
        <v>96</v>
      </c>
      <c r="F115" s="1">
        <v>43</v>
      </c>
      <c r="M115" s="1">
        <f t="shared" si="0"/>
        <v>44.791666666666671</v>
      </c>
    </row>
    <row r="116" spans="1:16" x14ac:dyDescent="0.55000000000000004">
      <c r="A116" s="1" t="s">
        <v>159</v>
      </c>
      <c r="B116" s="1" t="s">
        <v>120</v>
      </c>
      <c r="C116" s="1" t="s">
        <v>30</v>
      </c>
      <c r="D116" s="1">
        <v>139</v>
      </c>
      <c r="F116" s="1">
        <v>136</v>
      </c>
      <c r="H116" s="1">
        <v>1</v>
      </c>
      <c r="J116" s="1">
        <v>10</v>
      </c>
      <c r="M116" s="1">
        <f t="shared" si="0"/>
        <v>97.841726618705039</v>
      </c>
    </row>
    <row r="117" spans="1:16" x14ac:dyDescent="0.55000000000000004">
      <c r="A117" s="1" t="s">
        <v>160</v>
      </c>
      <c r="B117" s="1" t="s">
        <v>120</v>
      </c>
      <c r="C117" s="1" t="s">
        <v>30</v>
      </c>
      <c r="D117" s="1">
        <v>139</v>
      </c>
      <c r="F117" s="1">
        <v>0</v>
      </c>
      <c r="M117" s="1">
        <f t="shared" si="0"/>
        <v>0</v>
      </c>
    </row>
    <row r="118" spans="1:16" x14ac:dyDescent="0.55000000000000004">
      <c r="A118" s="1" t="s">
        <v>161</v>
      </c>
      <c r="B118" s="1" t="s">
        <v>120</v>
      </c>
      <c r="C118" s="1" t="s">
        <v>30</v>
      </c>
      <c r="D118" s="1">
        <v>112</v>
      </c>
      <c r="F118" s="1">
        <v>95</v>
      </c>
      <c r="M118" s="1">
        <f t="shared" si="0"/>
        <v>84.821428571428569</v>
      </c>
    </row>
    <row r="119" spans="1:16" x14ac:dyDescent="0.55000000000000004">
      <c r="A119" s="1" t="s">
        <v>162</v>
      </c>
      <c r="B119" s="1" t="s">
        <v>120</v>
      </c>
      <c r="C119" s="1" t="s">
        <v>30</v>
      </c>
      <c r="D119" s="1">
        <v>116</v>
      </c>
      <c r="F119" s="1">
        <v>0</v>
      </c>
      <c r="M119" s="1">
        <f t="shared" si="0"/>
        <v>0</v>
      </c>
    </row>
    <row r="120" spans="1:16" x14ac:dyDescent="0.55000000000000004">
      <c r="A120" s="1" t="s">
        <v>163</v>
      </c>
      <c r="B120" s="1" t="s">
        <v>120</v>
      </c>
      <c r="C120" s="1" t="s">
        <v>30</v>
      </c>
      <c r="D120" s="1">
        <v>107</v>
      </c>
      <c r="F120" s="1">
        <v>94</v>
      </c>
      <c r="M120" s="1">
        <f t="shared" si="0"/>
        <v>87.850467289719631</v>
      </c>
    </row>
    <row r="121" spans="1:16" x14ac:dyDescent="0.55000000000000004">
      <c r="A121" s="1" t="s">
        <v>164</v>
      </c>
      <c r="B121" s="1" t="s">
        <v>120</v>
      </c>
      <c r="C121" s="1" t="s">
        <v>30</v>
      </c>
      <c r="D121" s="1">
        <v>0</v>
      </c>
      <c r="F121" s="1" t="s">
        <v>66</v>
      </c>
      <c r="M121" s="1" t="e">
        <f t="shared" si="0"/>
        <v>#VALUE!</v>
      </c>
    </row>
    <row r="122" spans="1:16" x14ac:dyDescent="0.55000000000000004">
      <c r="A122" s="1" t="s">
        <v>165</v>
      </c>
      <c r="B122" s="1" t="s">
        <v>120</v>
      </c>
      <c r="C122" s="1" t="s">
        <v>30</v>
      </c>
      <c r="D122" s="1">
        <v>91</v>
      </c>
      <c r="F122" s="1">
        <v>76</v>
      </c>
      <c r="M122" s="1">
        <f t="shared" si="0"/>
        <v>83.516483516483518</v>
      </c>
    </row>
    <row r="123" spans="1:16" x14ac:dyDescent="0.55000000000000004">
      <c r="A123" s="1" t="s">
        <v>166</v>
      </c>
      <c r="B123" s="1" t="s">
        <v>120</v>
      </c>
      <c r="C123" s="1" t="s">
        <v>30</v>
      </c>
      <c r="D123" s="1">
        <v>118</v>
      </c>
      <c r="F123" s="1">
        <v>93</v>
      </c>
      <c r="M123" s="1">
        <f t="shared" si="0"/>
        <v>78.813559322033896</v>
      </c>
    </row>
    <row r="124" spans="1:16" x14ac:dyDescent="0.55000000000000004">
      <c r="A124" s="1" t="s">
        <v>167</v>
      </c>
      <c r="B124" s="1" t="s">
        <v>120</v>
      </c>
      <c r="C124" s="1" t="s">
        <v>30</v>
      </c>
      <c r="D124" s="1">
        <v>79</v>
      </c>
      <c r="F124" s="1">
        <v>60</v>
      </c>
      <c r="M124" s="1">
        <f t="shared" si="0"/>
        <v>75.949367088607602</v>
      </c>
    </row>
    <row r="125" spans="1:16" x14ac:dyDescent="0.55000000000000004">
      <c r="A125" s="1" t="s">
        <v>168</v>
      </c>
      <c r="B125" s="1" t="s">
        <v>169</v>
      </c>
      <c r="C125" s="1" t="s">
        <v>12</v>
      </c>
      <c r="D125" s="1">
        <v>34</v>
      </c>
      <c r="F125" s="1">
        <v>7</v>
      </c>
      <c r="H125" s="1" t="s">
        <v>170</v>
      </c>
      <c r="J125" s="1">
        <v>10</v>
      </c>
      <c r="M125" s="1">
        <f t="shared" si="0"/>
        <v>20.588235294117645</v>
      </c>
      <c r="P125" s="1">
        <f>AVERAGE(D125:D163)</f>
        <v>77.051282051282058</v>
      </c>
    </row>
    <row r="126" spans="1:16" x14ac:dyDescent="0.55000000000000004">
      <c r="A126" s="1" t="s">
        <v>171</v>
      </c>
      <c r="B126" s="1" t="s">
        <v>169</v>
      </c>
      <c r="C126" s="1" t="s">
        <v>12</v>
      </c>
      <c r="D126" s="1">
        <v>0</v>
      </c>
      <c r="F126" s="1" t="s">
        <v>66</v>
      </c>
      <c r="M126" s="1" t="e">
        <f t="shared" si="0"/>
        <v>#VALUE!</v>
      </c>
    </row>
    <row r="127" spans="1:16" x14ac:dyDescent="0.55000000000000004">
      <c r="A127" s="1" t="s">
        <v>172</v>
      </c>
      <c r="B127" s="1" t="s">
        <v>169</v>
      </c>
      <c r="C127" s="1" t="s">
        <v>12</v>
      </c>
      <c r="D127" s="1">
        <v>72</v>
      </c>
      <c r="F127" s="1">
        <v>68</v>
      </c>
      <c r="M127" s="1">
        <f t="shared" si="0"/>
        <v>94.444444444444443</v>
      </c>
    </row>
    <row r="128" spans="1:16" x14ac:dyDescent="0.55000000000000004">
      <c r="A128" s="1" t="s">
        <v>173</v>
      </c>
      <c r="B128" s="1" t="s">
        <v>169</v>
      </c>
      <c r="C128" s="1" t="s">
        <v>12</v>
      </c>
      <c r="D128" s="1">
        <v>124</v>
      </c>
      <c r="F128" s="1">
        <v>96</v>
      </c>
      <c r="M128" s="1">
        <f t="shared" si="0"/>
        <v>77.41935483870968</v>
      </c>
    </row>
    <row r="129" spans="1:13" x14ac:dyDescent="0.55000000000000004">
      <c r="A129" s="1" t="s">
        <v>174</v>
      </c>
      <c r="B129" s="1" t="s">
        <v>169</v>
      </c>
      <c r="C129" s="1" t="s">
        <v>12</v>
      </c>
      <c r="D129" s="1">
        <v>77</v>
      </c>
      <c r="F129" s="1">
        <v>12</v>
      </c>
      <c r="M129" s="1">
        <f t="shared" si="0"/>
        <v>15.584415584415584</v>
      </c>
    </row>
    <row r="130" spans="1:13" x14ac:dyDescent="0.55000000000000004">
      <c r="A130" s="1" t="s">
        <v>175</v>
      </c>
      <c r="B130" s="1" t="s">
        <v>169</v>
      </c>
      <c r="C130" s="1" t="s">
        <v>12</v>
      </c>
      <c r="D130" s="1">
        <v>0</v>
      </c>
      <c r="E130" s="1" t="s">
        <v>176</v>
      </c>
      <c r="F130" s="1" t="s">
        <v>66</v>
      </c>
      <c r="M130" s="1" t="e">
        <f t="shared" si="0"/>
        <v>#VALUE!</v>
      </c>
    </row>
    <row r="131" spans="1:13" x14ac:dyDescent="0.55000000000000004">
      <c r="A131" s="1" t="s">
        <v>177</v>
      </c>
      <c r="B131" s="1" t="s">
        <v>169</v>
      </c>
      <c r="C131" s="1" t="s">
        <v>12</v>
      </c>
      <c r="D131" s="1">
        <v>47</v>
      </c>
      <c r="F131" s="1">
        <v>30</v>
      </c>
      <c r="M131" s="1">
        <f t="shared" si="0"/>
        <v>63.829787234042556</v>
      </c>
    </row>
    <row r="132" spans="1:13" x14ac:dyDescent="0.55000000000000004">
      <c r="A132" s="1" t="s">
        <v>178</v>
      </c>
      <c r="B132" s="1" t="s">
        <v>169</v>
      </c>
      <c r="C132" s="1" t="s">
        <v>12</v>
      </c>
      <c r="D132" s="1">
        <v>59</v>
      </c>
      <c r="F132" s="1">
        <v>51</v>
      </c>
      <c r="M132" s="1">
        <f t="shared" si="0"/>
        <v>86.440677966101703</v>
      </c>
    </row>
    <row r="133" spans="1:13" x14ac:dyDescent="0.55000000000000004">
      <c r="A133" s="1" t="s">
        <v>179</v>
      </c>
      <c r="B133" s="1" t="s">
        <v>169</v>
      </c>
      <c r="C133" s="1" t="s">
        <v>12</v>
      </c>
      <c r="D133" s="1">
        <v>73</v>
      </c>
      <c r="F133" s="1">
        <v>46</v>
      </c>
      <c r="M133" s="1">
        <f t="shared" si="0"/>
        <v>63.013698630136986</v>
      </c>
    </row>
    <row r="134" spans="1:13" x14ac:dyDescent="0.55000000000000004">
      <c r="A134" s="1" t="s">
        <v>180</v>
      </c>
      <c r="B134" s="1" t="s">
        <v>169</v>
      </c>
      <c r="C134" s="1" t="s">
        <v>12</v>
      </c>
      <c r="D134" s="1">
        <v>47</v>
      </c>
      <c r="F134" s="1">
        <v>35</v>
      </c>
      <c r="M134" s="1">
        <f t="shared" si="0"/>
        <v>74.468085106382972</v>
      </c>
    </row>
    <row r="135" spans="1:13" x14ac:dyDescent="0.55000000000000004">
      <c r="A135" s="1" t="s">
        <v>181</v>
      </c>
      <c r="B135" s="1" t="s">
        <v>169</v>
      </c>
      <c r="C135" s="1" t="s">
        <v>19</v>
      </c>
      <c r="D135" s="1">
        <v>111</v>
      </c>
      <c r="F135" s="1">
        <v>14</v>
      </c>
      <c r="H135" s="1">
        <v>2</v>
      </c>
      <c r="J135" s="1">
        <v>10</v>
      </c>
      <c r="M135" s="1">
        <f t="shared" si="0"/>
        <v>12.612612612612612</v>
      </c>
    </row>
    <row r="136" spans="1:13" x14ac:dyDescent="0.55000000000000004">
      <c r="A136" s="1" t="s">
        <v>182</v>
      </c>
      <c r="B136" s="1" t="s">
        <v>169</v>
      </c>
      <c r="C136" s="1" t="s">
        <v>19</v>
      </c>
      <c r="D136" s="1">
        <v>90</v>
      </c>
      <c r="F136" s="1">
        <v>66</v>
      </c>
      <c r="M136" s="1">
        <f t="shared" si="0"/>
        <v>73.333333333333329</v>
      </c>
    </row>
    <row r="137" spans="1:13" x14ac:dyDescent="0.55000000000000004">
      <c r="A137" s="1" t="s">
        <v>183</v>
      </c>
      <c r="B137" s="1" t="s">
        <v>169</v>
      </c>
      <c r="C137" s="1" t="s">
        <v>19</v>
      </c>
      <c r="D137" s="1">
        <v>106</v>
      </c>
      <c r="F137" s="1">
        <v>101</v>
      </c>
      <c r="M137" s="1">
        <f t="shared" si="0"/>
        <v>95.283018867924525</v>
      </c>
    </row>
    <row r="138" spans="1:13" x14ac:dyDescent="0.55000000000000004">
      <c r="A138" s="1" t="s">
        <v>184</v>
      </c>
      <c r="B138" s="1" t="s">
        <v>169</v>
      </c>
      <c r="C138" s="1" t="s">
        <v>19</v>
      </c>
      <c r="D138" s="1">
        <v>29</v>
      </c>
      <c r="F138" s="1">
        <v>25</v>
      </c>
      <c r="M138" s="1">
        <f t="shared" si="0"/>
        <v>86.206896551724128</v>
      </c>
    </row>
    <row r="139" spans="1:13" x14ac:dyDescent="0.55000000000000004">
      <c r="A139" s="1" t="s">
        <v>185</v>
      </c>
      <c r="B139" s="1" t="s">
        <v>169</v>
      </c>
      <c r="C139" s="1" t="s">
        <v>19</v>
      </c>
      <c r="D139" s="1">
        <v>0</v>
      </c>
      <c r="F139" s="1" t="s">
        <v>66</v>
      </c>
      <c r="M139" s="1" t="e">
        <f t="shared" si="0"/>
        <v>#VALUE!</v>
      </c>
    </row>
    <row r="140" spans="1:13" x14ac:dyDescent="0.55000000000000004">
      <c r="A140" s="1" t="s">
        <v>186</v>
      </c>
      <c r="B140" s="1" t="s">
        <v>169</v>
      </c>
      <c r="C140" s="1" t="s">
        <v>19</v>
      </c>
      <c r="D140" s="1">
        <v>0</v>
      </c>
      <c r="F140" s="1" t="s">
        <v>66</v>
      </c>
      <c r="M140" s="1" t="e">
        <f t="shared" si="0"/>
        <v>#VALUE!</v>
      </c>
    </row>
    <row r="141" spans="1:13" x14ac:dyDescent="0.55000000000000004">
      <c r="A141" s="1" t="s">
        <v>187</v>
      </c>
      <c r="B141" s="1" t="s">
        <v>169</v>
      </c>
      <c r="C141" s="1" t="s">
        <v>19</v>
      </c>
      <c r="D141" s="1">
        <v>107</v>
      </c>
      <c r="F141" s="1">
        <v>99</v>
      </c>
      <c r="M141" s="1">
        <f t="shared" si="0"/>
        <v>92.523364485981304</v>
      </c>
    </row>
    <row r="142" spans="1:13" x14ac:dyDescent="0.55000000000000004">
      <c r="A142" s="1" t="s">
        <v>188</v>
      </c>
      <c r="B142" s="1" t="s">
        <v>169</v>
      </c>
      <c r="C142" s="1" t="s">
        <v>19</v>
      </c>
      <c r="D142" s="1">
        <v>103</v>
      </c>
      <c r="F142" s="1">
        <v>61</v>
      </c>
      <c r="M142" s="1">
        <f t="shared" si="0"/>
        <v>59.22330097087378</v>
      </c>
    </row>
    <row r="143" spans="1:13" x14ac:dyDescent="0.55000000000000004">
      <c r="A143" s="1" t="s">
        <v>189</v>
      </c>
      <c r="B143" s="1" t="s">
        <v>169</v>
      </c>
      <c r="C143" s="1" t="s">
        <v>28</v>
      </c>
      <c r="D143" s="1">
        <v>118</v>
      </c>
      <c r="F143" s="1">
        <v>114</v>
      </c>
      <c r="H143" s="1">
        <v>1</v>
      </c>
      <c r="J143" s="1">
        <v>9</v>
      </c>
      <c r="M143" s="1">
        <f t="shared" si="0"/>
        <v>96.610169491525426</v>
      </c>
    </row>
    <row r="144" spans="1:13" x14ac:dyDescent="0.55000000000000004">
      <c r="A144" s="1" t="s">
        <v>190</v>
      </c>
      <c r="B144" s="1" t="s">
        <v>169</v>
      </c>
      <c r="C144" s="1" t="s">
        <v>28</v>
      </c>
      <c r="D144" s="1">
        <v>122</v>
      </c>
      <c r="F144" s="1">
        <v>116</v>
      </c>
      <c r="M144" s="1">
        <f t="shared" si="0"/>
        <v>95.081967213114751</v>
      </c>
    </row>
    <row r="145" spans="1:13" x14ac:dyDescent="0.55000000000000004">
      <c r="A145" s="1" t="s">
        <v>191</v>
      </c>
      <c r="B145" s="1" t="s">
        <v>169</v>
      </c>
      <c r="C145" s="1" t="s">
        <v>28</v>
      </c>
      <c r="D145" s="1">
        <v>136</v>
      </c>
      <c r="F145" s="1">
        <v>133</v>
      </c>
      <c r="M145" s="1">
        <f t="shared" si="0"/>
        <v>97.794117647058826</v>
      </c>
    </row>
    <row r="146" spans="1:13" x14ac:dyDescent="0.55000000000000004">
      <c r="A146" s="1" t="s">
        <v>192</v>
      </c>
      <c r="B146" s="1" t="s">
        <v>169</v>
      </c>
      <c r="C146" s="1" t="s">
        <v>28</v>
      </c>
      <c r="D146" s="1">
        <v>132</v>
      </c>
      <c r="F146" s="1">
        <v>124</v>
      </c>
      <c r="M146" s="1">
        <f t="shared" si="0"/>
        <v>93.939393939393938</v>
      </c>
    </row>
    <row r="147" spans="1:13" x14ac:dyDescent="0.55000000000000004">
      <c r="A147" s="1" t="s">
        <v>193</v>
      </c>
      <c r="B147" s="1" t="s">
        <v>169</v>
      </c>
      <c r="C147" s="1" t="s">
        <v>28</v>
      </c>
      <c r="D147" s="1">
        <v>48</v>
      </c>
      <c r="F147" s="1">
        <v>25</v>
      </c>
      <c r="M147" s="1">
        <f t="shared" si="0"/>
        <v>52.083333333333336</v>
      </c>
    </row>
    <row r="148" spans="1:13" x14ac:dyDescent="0.55000000000000004">
      <c r="A148" s="1" t="s">
        <v>194</v>
      </c>
      <c r="B148" s="1" t="s">
        <v>169</v>
      </c>
      <c r="C148" s="1" t="s">
        <v>28</v>
      </c>
      <c r="D148" s="1">
        <v>107</v>
      </c>
      <c r="F148" s="1">
        <v>71</v>
      </c>
      <c r="M148" s="1">
        <f t="shared" si="0"/>
        <v>66.355140186915889</v>
      </c>
    </row>
    <row r="149" spans="1:13" x14ac:dyDescent="0.55000000000000004">
      <c r="A149" s="1" t="s">
        <v>195</v>
      </c>
      <c r="B149" s="1" t="s">
        <v>169</v>
      </c>
      <c r="C149" s="1" t="s">
        <v>28</v>
      </c>
      <c r="D149" s="1">
        <v>154</v>
      </c>
      <c r="F149" s="1">
        <v>132</v>
      </c>
      <c r="M149" s="1">
        <f t="shared" si="0"/>
        <v>85.714285714285708</v>
      </c>
    </row>
    <row r="150" spans="1:13" x14ac:dyDescent="0.55000000000000004">
      <c r="A150" s="1" t="s">
        <v>196</v>
      </c>
      <c r="B150" s="1" t="s">
        <v>169</v>
      </c>
      <c r="C150" s="1" t="s">
        <v>28</v>
      </c>
      <c r="D150" s="1">
        <v>106</v>
      </c>
      <c r="F150" s="1">
        <v>72</v>
      </c>
      <c r="M150" s="1">
        <f t="shared" si="0"/>
        <v>67.924528301886795</v>
      </c>
    </row>
    <row r="151" spans="1:13" x14ac:dyDescent="0.55000000000000004">
      <c r="A151" s="1" t="s">
        <v>197</v>
      </c>
      <c r="B151" s="1" t="s">
        <v>169</v>
      </c>
      <c r="C151" s="1" t="s">
        <v>29</v>
      </c>
      <c r="D151" s="1">
        <v>96</v>
      </c>
      <c r="F151" s="1">
        <v>5</v>
      </c>
      <c r="G151" s="1" t="s">
        <v>198</v>
      </c>
      <c r="H151" s="1" t="s">
        <v>199</v>
      </c>
      <c r="J151" s="1">
        <v>9</v>
      </c>
      <c r="M151" s="1">
        <f t="shared" si="0"/>
        <v>5.2083333333333339</v>
      </c>
    </row>
    <row r="152" spans="1:13" x14ac:dyDescent="0.55000000000000004">
      <c r="A152" s="1" t="s">
        <v>200</v>
      </c>
      <c r="B152" s="1" t="s">
        <v>169</v>
      </c>
      <c r="C152" s="1" t="s">
        <v>29</v>
      </c>
      <c r="D152" s="1">
        <v>0</v>
      </c>
      <c r="E152" s="1" t="s">
        <v>201</v>
      </c>
      <c r="F152" s="1" t="s">
        <v>66</v>
      </c>
      <c r="M152" s="1" t="e">
        <f t="shared" si="0"/>
        <v>#VALUE!</v>
      </c>
    </row>
    <row r="153" spans="1:13" x14ac:dyDescent="0.55000000000000004">
      <c r="A153" s="1" t="s">
        <v>202</v>
      </c>
      <c r="B153" s="1" t="s">
        <v>169</v>
      </c>
      <c r="C153" s="1" t="s">
        <v>29</v>
      </c>
      <c r="D153" s="1">
        <v>80</v>
      </c>
      <c r="F153" s="1">
        <v>53</v>
      </c>
      <c r="M153" s="1">
        <f t="shared" si="0"/>
        <v>66.25</v>
      </c>
    </row>
    <row r="154" spans="1:13" x14ac:dyDescent="0.55000000000000004">
      <c r="A154" s="1" t="s">
        <v>203</v>
      </c>
      <c r="B154" s="1" t="s">
        <v>169</v>
      </c>
      <c r="C154" s="1" t="s">
        <v>29</v>
      </c>
      <c r="D154" s="1">
        <v>0</v>
      </c>
      <c r="F154" s="1" t="s">
        <v>66</v>
      </c>
      <c r="M154" s="1" t="e">
        <f t="shared" si="0"/>
        <v>#VALUE!</v>
      </c>
    </row>
    <row r="155" spans="1:13" x14ac:dyDescent="0.55000000000000004">
      <c r="A155" s="1" t="s">
        <v>204</v>
      </c>
      <c r="B155" s="1" t="s">
        <v>169</v>
      </c>
      <c r="C155" s="1" t="s">
        <v>29</v>
      </c>
      <c r="D155" s="1">
        <v>76</v>
      </c>
      <c r="F155" s="1">
        <v>73</v>
      </c>
      <c r="M155" s="1">
        <f t="shared" si="0"/>
        <v>96.05263157894737</v>
      </c>
    </row>
    <row r="156" spans="1:13" x14ac:dyDescent="0.55000000000000004">
      <c r="A156" s="1" t="s">
        <v>205</v>
      </c>
      <c r="B156" s="1" t="s">
        <v>169</v>
      </c>
      <c r="C156" s="1" t="s">
        <v>30</v>
      </c>
      <c r="D156" s="1">
        <v>96</v>
      </c>
      <c r="F156" s="1">
        <v>73</v>
      </c>
      <c r="G156" s="1" t="s">
        <v>206</v>
      </c>
      <c r="H156" s="2">
        <v>2</v>
      </c>
      <c r="J156" s="1">
        <v>10</v>
      </c>
      <c r="M156" s="1">
        <f t="shared" si="0"/>
        <v>76.041666666666657</v>
      </c>
    </row>
    <row r="157" spans="1:13" x14ac:dyDescent="0.55000000000000004">
      <c r="A157" s="1" t="s">
        <v>207</v>
      </c>
      <c r="B157" s="1" t="s">
        <v>169</v>
      </c>
      <c r="C157" s="1" t="s">
        <v>30</v>
      </c>
      <c r="D157" s="1">
        <v>74</v>
      </c>
      <c r="F157" s="1">
        <v>60</v>
      </c>
      <c r="M157" s="1">
        <f t="shared" si="0"/>
        <v>81.081081081081081</v>
      </c>
    </row>
    <row r="158" spans="1:13" x14ac:dyDescent="0.55000000000000004">
      <c r="A158" s="1" t="s">
        <v>208</v>
      </c>
      <c r="B158" s="1" t="s">
        <v>169</v>
      </c>
      <c r="C158" s="1" t="s">
        <v>30</v>
      </c>
      <c r="D158" s="1">
        <v>114</v>
      </c>
      <c r="F158" s="1">
        <v>68</v>
      </c>
      <c r="M158" s="1">
        <f t="shared" si="0"/>
        <v>59.649122807017541</v>
      </c>
    </row>
    <row r="159" spans="1:13" x14ac:dyDescent="0.55000000000000004">
      <c r="A159" s="1" t="s">
        <v>209</v>
      </c>
      <c r="B159" s="1" t="s">
        <v>169</v>
      </c>
      <c r="C159" s="1" t="s">
        <v>30</v>
      </c>
      <c r="D159" s="1">
        <v>0</v>
      </c>
      <c r="F159" s="1" t="s">
        <v>66</v>
      </c>
      <c r="M159" s="1" t="e">
        <f t="shared" si="0"/>
        <v>#VALUE!</v>
      </c>
    </row>
    <row r="160" spans="1:13" x14ac:dyDescent="0.55000000000000004">
      <c r="A160" s="1" t="s">
        <v>210</v>
      </c>
      <c r="B160" s="1" t="s">
        <v>169</v>
      </c>
      <c r="C160" s="1" t="s">
        <v>30</v>
      </c>
      <c r="D160" s="1">
        <v>104</v>
      </c>
      <c r="F160" s="1">
        <v>100</v>
      </c>
      <c r="M160" s="1">
        <f t="shared" si="0"/>
        <v>96.15384615384616</v>
      </c>
    </row>
    <row r="161" spans="1:16" x14ac:dyDescent="0.55000000000000004">
      <c r="A161" s="1" t="s">
        <v>211</v>
      </c>
      <c r="B161" s="1" t="s">
        <v>169</v>
      </c>
      <c r="C161" s="1" t="s">
        <v>30</v>
      </c>
      <c r="D161" s="1">
        <v>99</v>
      </c>
      <c r="F161" s="1">
        <v>91</v>
      </c>
      <c r="M161" s="1">
        <f t="shared" si="0"/>
        <v>91.919191919191917</v>
      </c>
    </row>
    <row r="162" spans="1:16" x14ac:dyDescent="0.55000000000000004">
      <c r="A162" s="1" t="s">
        <v>212</v>
      </c>
      <c r="B162" s="1" t="s">
        <v>169</v>
      </c>
      <c r="C162" s="1" t="s">
        <v>30</v>
      </c>
      <c r="D162" s="1">
        <v>148</v>
      </c>
      <c r="F162" s="1">
        <v>133</v>
      </c>
      <c r="M162" s="1">
        <f t="shared" si="0"/>
        <v>89.86486486486487</v>
      </c>
    </row>
    <row r="163" spans="1:16" x14ac:dyDescent="0.55000000000000004">
      <c r="A163" s="1" t="s">
        <v>213</v>
      </c>
      <c r="B163" s="1" t="s">
        <v>169</v>
      </c>
      <c r="C163" s="1" t="s">
        <v>30</v>
      </c>
      <c r="D163" s="1">
        <v>116</v>
      </c>
      <c r="F163" s="1">
        <v>74</v>
      </c>
      <c r="M163" s="1">
        <f t="shared" si="0"/>
        <v>63.793103448275865</v>
      </c>
    </row>
    <row r="164" spans="1:16" x14ac:dyDescent="0.55000000000000004">
      <c r="A164" s="1" t="s">
        <v>214</v>
      </c>
      <c r="B164" s="1" t="s">
        <v>215</v>
      </c>
      <c r="C164" s="1" t="s">
        <v>12</v>
      </c>
      <c r="D164" s="1">
        <v>0</v>
      </c>
      <c r="F164" s="1" t="s">
        <v>66</v>
      </c>
      <c r="H164" s="1">
        <v>0</v>
      </c>
      <c r="J164" s="1">
        <v>8</v>
      </c>
      <c r="M164" s="1" t="e">
        <f t="shared" si="0"/>
        <v>#VALUE!</v>
      </c>
      <c r="P164" s="1">
        <f>AVERAGE(D164:D201)</f>
        <v>25.45945945945946</v>
      </c>
    </row>
    <row r="165" spans="1:16" x14ac:dyDescent="0.55000000000000004">
      <c r="A165" s="1" t="s">
        <v>216</v>
      </c>
      <c r="B165" s="1" t="s">
        <v>215</v>
      </c>
      <c r="C165" s="1" t="s">
        <v>12</v>
      </c>
      <c r="D165" s="1">
        <v>0</v>
      </c>
      <c r="F165" s="1" t="s">
        <v>66</v>
      </c>
      <c r="M165" s="1" t="e">
        <f t="shared" si="0"/>
        <v>#VALUE!</v>
      </c>
    </row>
    <row r="166" spans="1:16" x14ac:dyDescent="0.55000000000000004">
      <c r="A166" s="1" t="s">
        <v>217</v>
      </c>
      <c r="B166" s="1" t="s">
        <v>215</v>
      </c>
      <c r="C166" s="1" t="s">
        <v>12</v>
      </c>
      <c r="D166" s="1">
        <v>0</v>
      </c>
      <c r="F166" s="1" t="s">
        <v>66</v>
      </c>
      <c r="M166" s="1" t="e">
        <f t="shared" si="0"/>
        <v>#VALUE!</v>
      </c>
    </row>
    <row r="167" spans="1:16" x14ac:dyDescent="0.55000000000000004">
      <c r="A167" s="1" t="s">
        <v>218</v>
      </c>
      <c r="B167" s="1" t="s">
        <v>215</v>
      </c>
      <c r="C167" s="1" t="s">
        <v>12</v>
      </c>
      <c r="D167" s="1">
        <v>0</v>
      </c>
      <c r="F167" s="1" t="s">
        <v>66</v>
      </c>
      <c r="M167" s="1" t="e">
        <f t="shared" si="0"/>
        <v>#VALUE!</v>
      </c>
    </row>
    <row r="168" spans="1:16" x14ac:dyDescent="0.55000000000000004">
      <c r="A168" s="1" t="s">
        <v>219</v>
      </c>
      <c r="B168" s="1" t="s">
        <v>215</v>
      </c>
      <c r="C168" s="1" t="s">
        <v>12</v>
      </c>
      <c r="D168" s="1">
        <v>0</v>
      </c>
      <c r="F168" s="1" t="s">
        <v>66</v>
      </c>
      <c r="M168" s="1" t="e">
        <f t="shared" si="0"/>
        <v>#VALUE!</v>
      </c>
    </row>
    <row r="169" spans="1:16" x14ac:dyDescent="0.55000000000000004">
      <c r="A169" s="1" t="s">
        <v>220</v>
      </c>
      <c r="B169" s="1" t="s">
        <v>215</v>
      </c>
      <c r="C169" s="1" t="s">
        <v>12</v>
      </c>
      <c r="D169" s="1">
        <v>0</v>
      </c>
      <c r="F169" s="1" t="s">
        <v>66</v>
      </c>
      <c r="M169" s="1" t="e">
        <f t="shared" si="0"/>
        <v>#VALUE!</v>
      </c>
    </row>
    <row r="170" spans="1:16" x14ac:dyDescent="0.55000000000000004">
      <c r="A170" s="1" t="s">
        <v>221</v>
      </c>
      <c r="B170" s="1" t="s">
        <v>215</v>
      </c>
      <c r="C170" s="1" t="s">
        <v>12</v>
      </c>
      <c r="D170" s="1">
        <v>0</v>
      </c>
      <c r="F170" s="1" t="s">
        <v>66</v>
      </c>
      <c r="M170" s="1" t="e">
        <f t="shared" si="0"/>
        <v>#VALUE!</v>
      </c>
    </row>
    <row r="171" spans="1:16" x14ac:dyDescent="0.55000000000000004">
      <c r="A171" s="1" t="s">
        <v>222</v>
      </c>
      <c r="B171" s="1" t="s">
        <v>215</v>
      </c>
      <c r="C171" s="1" t="s">
        <v>12</v>
      </c>
      <c r="D171" s="1">
        <v>96</v>
      </c>
      <c r="F171" s="1">
        <v>61</v>
      </c>
      <c r="M171" s="1">
        <f t="shared" si="0"/>
        <v>63.541666666666664</v>
      </c>
    </row>
    <row r="172" spans="1:16" x14ac:dyDescent="0.55000000000000004">
      <c r="M172" s="1" t="e">
        <f t="shared" si="0"/>
        <v>#DIV/0!</v>
      </c>
    </row>
    <row r="173" spans="1:16" x14ac:dyDescent="0.55000000000000004">
      <c r="A173" s="1" t="s">
        <v>223</v>
      </c>
      <c r="B173" s="1" t="s">
        <v>215</v>
      </c>
      <c r="C173" s="1" t="s">
        <v>19</v>
      </c>
      <c r="D173" s="1">
        <v>0</v>
      </c>
      <c r="F173" s="1" t="s">
        <v>66</v>
      </c>
      <c r="H173" s="1">
        <v>0</v>
      </c>
      <c r="J173" s="1">
        <v>9</v>
      </c>
      <c r="M173" s="1" t="e">
        <f t="shared" si="0"/>
        <v>#VALUE!</v>
      </c>
    </row>
    <row r="174" spans="1:16" x14ac:dyDescent="0.55000000000000004">
      <c r="A174" s="1" t="s">
        <v>224</v>
      </c>
      <c r="B174" s="1" t="s">
        <v>215</v>
      </c>
      <c r="C174" s="1" t="s">
        <v>19</v>
      </c>
      <c r="D174" s="1">
        <v>0</v>
      </c>
      <c r="F174" s="1" t="s">
        <v>66</v>
      </c>
      <c r="M174" s="1" t="e">
        <f t="shared" si="0"/>
        <v>#VALUE!</v>
      </c>
    </row>
    <row r="175" spans="1:16" x14ac:dyDescent="0.55000000000000004">
      <c r="A175" s="1" t="s">
        <v>225</v>
      </c>
      <c r="B175" s="1" t="s">
        <v>215</v>
      </c>
      <c r="C175" s="1" t="s">
        <v>19</v>
      </c>
      <c r="D175" s="1">
        <v>157</v>
      </c>
      <c r="F175" s="1">
        <v>151</v>
      </c>
      <c r="M175" s="1">
        <f t="shared" si="0"/>
        <v>96.178343949044589</v>
      </c>
    </row>
    <row r="176" spans="1:16" x14ac:dyDescent="0.55000000000000004">
      <c r="A176" s="1" t="s">
        <v>226</v>
      </c>
      <c r="B176" s="1" t="s">
        <v>215</v>
      </c>
      <c r="C176" s="1" t="s">
        <v>19</v>
      </c>
      <c r="D176" s="1">
        <v>0</v>
      </c>
      <c r="F176" s="1" t="s">
        <v>66</v>
      </c>
      <c r="M176" s="1" t="e">
        <f t="shared" si="0"/>
        <v>#VALUE!</v>
      </c>
    </row>
    <row r="177" spans="1:13" x14ac:dyDescent="0.55000000000000004">
      <c r="A177" s="1" t="s">
        <v>227</v>
      </c>
      <c r="B177" s="1" t="s">
        <v>215</v>
      </c>
      <c r="C177" s="1" t="s">
        <v>19</v>
      </c>
      <c r="D177" s="1">
        <v>0</v>
      </c>
      <c r="F177" s="1" t="s">
        <v>66</v>
      </c>
      <c r="M177" s="1" t="e">
        <f t="shared" si="0"/>
        <v>#VALUE!</v>
      </c>
    </row>
    <row r="178" spans="1:13" x14ac:dyDescent="0.55000000000000004">
      <c r="A178" s="1" t="s">
        <v>228</v>
      </c>
      <c r="B178" s="1" t="s">
        <v>215</v>
      </c>
      <c r="C178" s="1" t="s">
        <v>19</v>
      </c>
      <c r="D178" s="1">
        <v>0</v>
      </c>
      <c r="F178" s="1" t="s">
        <v>66</v>
      </c>
      <c r="M178" s="1" t="e">
        <f t="shared" si="0"/>
        <v>#VALUE!</v>
      </c>
    </row>
    <row r="179" spans="1:13" x14ac:dyDescent="0.55000000000000004">
      <c r="A179" s="1" t="s">
        <v>229</v>
      </c>
      <c r="B179" s="1" t="s">
        <v>215</v>
      </c>
      <c r="C179" s="1" t="s">
        <v>19</v>
      </c>
      <c r="D179" s="1">
        <v>88</v>
      </c>
      <c r="F179" s="1">
        <v>85</v>
      </c>
      <c r="M179" s="1">
        <f t="shared" si="0"/>
        <v>96.590909090909093</v>
      </c>
    </row>
    <row r="180" spans="1:13" x14ac:dyDescent="0.55000000000000004">
      <c r="A180" s="1" t="s">
        <v>230</v>
      </c>
      <c r="B180" s="1" t="s">
        <v>215</v>
      </c>
      <c r="C180" s="1" t="s">
        <v>19</v>
      </c>
      <c r="D180" s="1">
        <v>0</v>
      </c>
      <c r="F180" s="1" t="s">
        <v>66</v>
      </c>
      <c r="M180" s="1" t="e">
        <f t="shared" si="0"/>
        <v>#VALUE!</v>
      </c>
    </row>
    <row r="181" spans="1:13" x14ac:dyDescent="0.55000000000000004">
      <c r="A181" s="1" t="s">
        <v>231</v>
      </c>
      <c r="B181" s="1" t="s">
        <v>215</v>
      </c>
      <c r="C181" s="1" t="s">
        <v>19</v>
      </c>
      <c r="D181" s="1">
        <v>0</v>
      </c>
      <c r="F181" s="1" t="s">
        <v>66</v>
      </c>
      <c r="M181" s="1" t="e">
        <f t="shared" si="0"/>
        <v>#VALUE!</v>
      </c>
    </row>
    <row r="182" spans="1:13" x14ac:dyDescent="0.55000000000000004">
      <c r="A182" s="1" t="s">
        <v>232</v>
      </c>
      <c r="B182" s="1" t="s">
        <v>215</v>
      </c>
      <c r="C182" s="1" t="s">
        <v>28</v>
      </c>
      <c r="D182" s="1">
        <v>0</v>
      </c>
      <c r="F182" s="1" t="s">
        <v>66</v>
      </c>
      <c r="H182" s="1">
        <v>0</v>
      </c>
      <c r="J182" s="1">
        <v>9</v>
      </c>
      <c r="M182" s="1" t="e">
        <f t="shared" si="0"/>
        <v>#VALUE!</v>
      </c>
    </row>
    <row r="183" spans="1:13" x14ac:dyDescent="0.55000000000000004">
      <c r="A183" s="1" t="s">
        <v>233</v>
      </c>
      <c r="B183" s="1" t="s">
        <v>215</v>
      </c>
      <c r="C183" s="1" t="s">
        <v>28</v>
      </c>
      <c r="D183" s="1">
        <v>0</v>
      </c>
      <c r="F183" s="1" t="s">
        <v>66</v>
      </c>
      <c r="M183" s="1" t="e">
        <f t="shared" si="0"/>
        <v>#VALUE!</v>
      </c>
    </row>
    <row r="184" spans="1:13" x14ac:dyDescent="0.55000000000000004">
      <c r="A184" s="1" t="s">
        <v>234</v>
      </c>
      <c r="B184" s="1" t="s">
        <v>215</v>
      </c>
      <c r="C184" s="1" t="s">
        <v>28</v>
      </c>
      <c r="D184" s="1">
        <v>52</v>
      </c>
      <c r="F184" s="1">
        <v>43</v>
      </c>
      <c r="M184" s="1">
        <f t="shared" si="0"/>
        <v>82.692307692307693</v>
      </c>
    </row>
    <row r="185" spans="1:13" x14ac:dyDescent="0.55000000000000004">
      <c r="A185" s="1" t="s">
        <v>235</v>
      </c>
      <c r="B185" s="1" t="s">
        <v>215</v>
      </c>
      <c r="C185" s="1" t="s">
        <v>28</v>
      </c>
      <c r="D185" s="1">
        <v>136</v>
      </c>
      <c r="F185" s="1">
        <v>127</v>
      </c>
      <c r="M185" s="1">
        <f t="shared" si="0"/>
        <v>93.382352941176478</v>
      </c>
    </row>
    <row r="186" spans="1:13" x14ac:dyDescent="0.55000000000000004">
      <c r="A186" s="1" t="s">
        <v>236</v>
      </c>
      <c r="B186" s="1" t="s">
        <v>215</v>
      </c>
      <c r="C186" s="1" t="s">
        <v>28</v>
      </c>
      <c r="D186" s="1">
        <v>0</v>
      </c>
      <c r="F186" s="1" t="s">
        <v>66</v>
      </c>
      <c r="M186" s="1" t="e">
        <f t="shared" si="0"/>
        <v>#VALUE!</v>
      </c>
    </row>
    <row r="187" spans="1:13" x14ac:dyDescent="0.55000000000000004">
      <c r="A187" s="1" t="s">
        <v>237</v>
      </c>
      <c r="B187" s="1" t="s">
        <v>215</v>
      </c>
      <c r="C187" s="1" t="s">
        <v>28</v>
      </c>
      <c r="D187" s="1">
        <v>108</v>
      </c>
      <c r="F187" s="1">
        <v>98</v>
      </c>
      <c r="M187" s="1">
        <f t="shared" si="0"/>
        <v>90.740740740740748</v>
      </c>
    </row>
    <row r="188" spans="1:13" x14ac:dyDescent="0.55000000000000004">
      <c r="A188" s="1" t="s">
        <v>238</v>
      </c>
      <c r="B188" s="1" t="s">
        <v>215</v>
      </c>
      <c r="C188" s="1" t="s">
        <v>28</v>
      </c>
      <c r="D188" s="1">
        <v>20</v>
      </c>
      <c r="F188" s="1">
        <v>0</v>
      </c>
      <c r="M188" s="1">
        <f t="shared" si="0"/>
        <v>0</v>
      </c>
    </row>
    <row r="189" spans="1:13" x14ac:dyDescent="0.55000000000000004">
      <c r="A189" s="1" t="s">
        <v>239</v>
      </c>
      <c r="B189" s="1" t="s">
        <v>215</v>
      </c>
      <c r="C189" s="1" t="s">
        <v>28</v>
      </c>
      <c r="D189" s="1">
        <v>0</v>
      </c>
      <c r="F189" s="1" t="s">
        <v>66</v>
      </c>
      <c r="M189" s="1" t="e">
        <f t="shared" si="0"/>
        <v>#VALUE!</v>
      </c>
    </row>
    <row r="190" spans="1:13" x14ac:dyDescent="0.55000000000000004">
      <c r="A190" s="1" t="s">
        <v>240</v>
      </c>
      <c r="B190" s="1" t="s">
        <v>215</v>
      </c>
      <c r="C190" s="1" t="s">
        <v>28</v>
      </c>
      <c r="D190" s="1">
        <v>39</v>
      </c>
      <c r="F190" s="1">
        <v>36</v>
      </c>
      <c r="M190" s="1">
        <f t="shared" si="0"/>
        <v>92.307692307692307</v>
      </c>
    </row>
    <row r="191" spans="1:13" x14ac:dyDescent="0.55000000000000004">
      <c r="A191" s="1" t="s">
        <v>241</v>
      </c>
      <c r="B191" s="1" t="s">
        <v>215</v>
      </c>
      <c r="C191" s="1" t="s">
        <v>29</v>
      </c>
      <c r="D191" s="1">
        <v>0</v>
      </c>
      <c r="F191" s="1" t="s">
        <v>66</v>
      </c>
      <c r="H191" s="1">
        <v>3</v>
      </c>
      <c r="J191" s="1">
        <v>6</v>
      </c>
      <c r="M191" s="1" t="e">
        <f t="shared" si="0"/>
        <v>#VALUE!</v>
      </c>
    </row>
    <row r="192" spans="1:13" x14ac:dyDescent="0.55000000000000004">
      <c r="A192" s="1" t="s">
        <v>242</v>
      </c>
      <c r="B192" s="1" t="s">
        <v>215</v>
      </c>
      <c r="C192" s="1" t="s">
        <v>29</v>
      </c>
      <c r="D192" s="1">
        <v>66</v>
      </c>
      <c r="F192" s="1">
        <v>34</v>
      </c>
      <c r="M192" s="1">
        <f t="shared" si="0"/>
        <v>51.515151515151516</v>
      </c>
    </row>
    <row r="193" spans="1:13" x14ac:dyDescent="0.55000000000000004">
      <c r="A193" s="1" t="s">
        <v>243</v>
      </c>
      <c r="B193" s="1" t="s">
        <v>215</v>
      </c>
      <c r="C193" s="1" t="s">
        <v>29</v>
      </c>
      <c r="D193" s="1">
        <v>4</v>
      </c>
      <c r="F193" s="1">
        <v>4</v>
      </c>
      <c r="M193" s="1">
        <f t="shared" si="0"/>
        <v>100</v>
      </c>
    </row>
    <row r="194" spans="1:13" x14ac:dyDescent="0.55000000000000004">
      <c r="A194" s="1" t="s">
        <v>244</v>
      </c>
      <c r="B194" s="1" t="s">
        <v>215</v>
      </c>
      <c r="C194" s="1" t="s">
        <v>30</v>
      </c>
      <c r="D194" s="1">
        <v>0</v>
      </c>
      <c r="F194" s="1" t="s">
        <v>66</v>
      </c>
      <c r="H194" s="1">
        <v>1</v>
      </c>
      <c r="J194" s="1">
        <v>9</v>
      </c>
      <c r="M194" s="1" t="e">
        <f t="shared" si="0"/>
        <v>#VALUE!</v>
      </c>
    </row>
    <row r="195" spans="1:13" x14ac:dyDescent="0.55000000000000004">
      <c r="A195" s="1" t="s">
        <v>245</v>
      </c>
      <c r="B195" s="1" t="s">
        <v>215</v>
      </c>
      <c r="C195" s="1" t="s">
        <v>30</v>
      </c>
      <c r="D195" s="1">
        <v>0</v>
      </c>
      <c r="F195" s="1" t="s">
        <v>66</v>
      </c>
      <c r="M195" s="1" t="e">
        <f t="shared" si="0"/>
        <v>#VALUE!</v>
      </c>
    </row>
    <row r="196" spans="1:13" x14ac:dyDescent="0.55000000000000004">
      <c r="A196" s="1" t="s">
        <v>246</v>
      </c>
      <c r="B196" s="1" t="s">
        <v>215</v>
      </c>
      <c r="C196" s="1" t="s">
        <v>30</v>
      </c>
      <c r="D196" s="1">
        <v>47</v>
      </c>
      <c r="F196" s="1">
        <v>39</v>
      </c>
      <c r="M196" s="1">
        <f t="shared" si="0"/>
        <v>82.978723404255319</v>
      </c>
    </row>
    <row r="197" spans="1:13" x14ac:dyDescent="0.55000000000000004">
      <c r="A197" s="1" t="s">
        <v>247</v>
      </c>
      <c r="B197" s="1" t="s">
        <v>215</v>
      </c>
      <c r="C197" s="1" t="s">
        <v>30</v>
      </c>
      <c r="D197" s="1">
        <v>72</v>
      </c>
      <c r="F197" s="1">
        <v>52</v>
      </c>
      <c r="M197" s="1">
        <f t="shared" si="0"/>
        <v>72.222222222222214</v>
      </c>
    </row>
    <row r="198" spans="1:13" x14ac:dyDescent="0.55000000000000004">
      <c r="A198" s="1" t="s">
        <v>248</v>
      </c>
      <c r="B198" s="1" t="s">
        <v>215</v>
      </c>
      <c r="C198" s="1" t="s">
        <v>30</v>
      </c>
      <c r="D198" s="1">
        <v>0</v>
      </c>
      <c r="F198" s="1" t="s">
        <v>66</v>
      </c>
      <c r="M198" s="1" t="e">
        <f t="shared" si="0"/>
        <v>#VALUE!</v>
      </c>
    </row>
    <row r="199" spans="1:13" x14ac:dyDescent="0.55000000000000004">
      <c r="A199" s="1" t="s">
        <v>249</v>
      </c>
      <c r="B199" s="1" t="s">
        <v>215</v>
      </c>
      <c r="C199" s="1" t="s">
        <v>30</v>
      </c>
      <c r="D199" s="1">
        <v>0</v>
      </c>
      <c r="F199" s="1" t="s">
        <v>66</v>
      </c>
      <c r="M199" s="1" t="e">
        <f t="shared" si="0"/>
        <v>#VALUE!</v>
      </c>
    </row>
    <row r="200" spans="1:13" x14ac:dyDescent="0.55000000000000004">
      <c r="A200" s="1" t="s">
        <v>250</v>
      </c>
      <c r="B200" s="1" t="s">
        <v>215</v>
      </c>
      <c r="C200" s="1" t="s">
        <v>30</v>
      </c>
      <c r="D200" s="1">
        <v>57</v>
      </c>
      <c r="F200" s="1">
        <v>0</v>
      </c>
      <c r="M200" s="1">
        <f t="shared" si="0"/>
        <v>0</v>
      </c>
    </row>
    <row r="201" spans="1:13" x14ac:dyDescent="0.55000000000000004">
      <c r="A201" s="1" t="s">
        <v>251</v>
      </c>
      <c r="B201" s="1" t="s">
        <v>215</v>
      </c>
      <c r="C201" s="1" t="s">
        <v>30</v>
      </c>
      <c r="D201" s="1">
        <v>0</v>
      </c>
      <c r="F201" s="1" t="s">
        <v>66</v>
      </c>
      <c r="M201" s="1" t="e">
        <f t="shared" si="0"/>
        <v>#VALUE!</v>
      </c>
    </row>
    <row r="202" spans="1:13" x14ac:dyDescent="0.55000000000000004">
      <c r="A202" s="1" t="s">
        <v>252</v>
      </c>
      <c r="B202" s="1" t="s">
        <v>253</v>
      </c>
      <c r="C202" s="1" t="s">
        <v>12</v>
      </c>
      <c r="D202" s="1">
        <v>121</v>
      </c>
      <c r="F202" s="1">
        <v>79</v>
      </c>
      <c r="H202" s="1">
        <v>5</v>
      </c>
      <c r="J202" s="1">
        <v>9</v>
      </c>
      <c r="M202" s="1">
        <f t="shared" si="0"/>
        <v>65.289256198347118</v>
      </c>
    </row>
    <row r="203" spans="1:13" x14ac:dyDescent="0.55000000000000004">
      <c r="A203" s="1" t="s">
        <v>254</v>
      </c>
      <c r="B203" s="1" t="s">
        <v>253</v>
      </c>
      <c r="C203" s="1" t="s">
        <v>12</v>
      </c>
      <c r="D203" s="1">
        <v>130</v>
      </c>
      <c r="F203" s="1">
        <v>20</v>
      </c>
      <c r="M203" s="1">
        <f t="shared" si="0"/>
        <v>15.384615384615385</v>
      </c>
    </row>
    <row r="204" spans="1:13" x14ac:dyDescent="0.55000000000000004">
      <c r="A204" s="1" t="s">
        <v>255</v>
      </c>
      <c r="B204" s="1" t="s">
        <v>253</v>
      </c>
      <c r="C204" s="1" t="s">
        <v>12</v>
      </c>
      <c r="D204" s="1">
        <v>79</v>
      </c>
      <c r="F204" s="1">
        <v>1</v>
      </c>
      <c r="G204" s="1" t="s">
        <v>256</v>
      </c>
      <c r="M204" s="1">
        <f t="shared" si="0"/>
        <v>1.2658227848101267</v>
      </c>
    </row>
    <row r="205" spans="1:13" x14ac:dyDescent="0.55000000000000004">
      <c r="A205" s="1" t="s">
        <v>257</v>
      </c>
      <c r="B205" s="1" t="s">
        <v>253</v>
      </c>
      <c r="C205" s="1" t="s">
        <v>12</v>
      </c>
      <c r="D205" s="1">
        <v>98</v>
      </c>
      <c r="F205" s="1">
        <v>19</v>
      </c>
      <c r="M205" s="1">
        <f t="shared" si="0"/>
        <v>19.387755102040817</v>
      </c>
    </row>
    <row r="206" spans="1:13" x14ac:dyDescent="0.55000000000000004">
      <c r="A206" s="1" t="s">
        <v>258</v>
      </c>
      <c r="B206" s="1" t="s">
        <v>253</v>
      </c>
      <c r="C206" s="1" t="s">
        <v>19</v>
      </c>
      <c r="D206" s="1">
        <v>91</v>
      </c>
      <c r="F206" s="1">
        <v>0</v>
      </c>
      <c r="G206" s="1" t="s">
        <v>259</v>
      </c>
      <c r="H206" s="1">
        <v>2</v>
      </c>
      <c r="J206" s="1">
        <v>10</v>
      </c>
      <c r="M206" s="1">
        <f t="shared" si="0"/>
        <v>0</v>
      </c>
    </row>
    <row r="207" spans="1:13" x14ac:dyDescent="0.55000000000000004">
      <c r="A207" s="1" t="s">
        <v>260</v>
      </c>
      <c r="B207" s="1" t="s">
        <v>253</v>
      </c>
      <c r="C207" s="1" t="s">
        <v>19</v>
      </c>
      <c r="D207" s="1">
        <v>71</v>
      </c>
      <c r="F207" s="1">
        <v>2</v>
      </c>
      <c r="M207" s="1">
        <f t="shared" si="0"/>
        <v>2.8169014084507045</v>
      </c>
    </row>
    <row r="208" spans="1:13" x14ac:dyDescent="0.55000000000000004">
      <c r="A208" s="1" t="s">
        <v>261</v>
      </c>
      <c r="B208" s="1" t="s">
        <v>253</v>
      </c>
      <c r="C208" s="1" t="s">
        <v>19</v>
      </c>
      <c r="D208" s="1">
        <v>90</v>
      </c>
      <c r="F208" s="1">
        <v>9</v>
      </c>
      <c r="M208" s="1">
        <f t="shared" si="0"/>
        <v>10</v>
      </c>
    </row>
    <row r="209" spans="1:13" x14ac:dyDescent="0.55000000000000004">
      <c r="A209" s="1" t="s">
        <v>262</v>
      </c>
      <c r="B209" s="1" t="s">
        <v>253</v>
      </c>
      <c r="C209" s="1" t="s">
        <v>19</v>
      </c>
      <c r="D209" s="1">
        <v>56</v>
      </c>
      <c r="F209" s="1">
        <v>0</v>
      </c>
      <c r="G209" s="1" t="s">
        <v>259</v>
      </c>
      <c r="M209" s="1">
        <f t="shared" si="0"/>
        <v>0</v>
      </c>
    </row>
    <row r="210" spans="1:13" x14ac:dyDescent="0.55000000000000004">
      <c r="A210" s="1" t="s">
        <v>263</v>
      </c>
      <c r="B210" s="1" t="s">
        <v>253</v>
      </c>
      <c r="C210" s="1" t="s">
        <v>19</v>
      </c>
      <c r="D210" s="1">
        <v>91</v>
      </c>
      <c r="F210" s="1">
        <v>0</v>
      </c>
      <c r="G210" s="1" t="s">
        <v>259</v>
      </c>
      <c r="M210" s="1">
        <f t="shared" si="0"/>
        <v>0</v>
      </c>
    </row>
    <row r="211" spans="1:13" x14ac:dyDescent="0.55000000000000004">
      <c r="A211" s="1" t="s">
        <v>264</v>
      </c>
      <c r="B211" s="1" t="s">
        <v>253</v>
      </c>
      <c r="C211" s="1" t="s">
        <v>19</v>
      </c>
      <c r="D211" s="1">
        <v>37</v>
      </c>
      <c r="F211" s="1">
        <v>0</v>
      </c>
      <c r="G211" s="1" t="s">
        <v>259</v>
      </c>
      <c r="M211" s="1">
        <f t="shared" si="0"/>
        <v>0</v>
      </c>
    </row>
    <row r="212" spans="1:13" x14ac:dyDescent="0.55000000000000004">
      <c r="A212" s="1" t="s">
        <v>265</v>
      </c>
      <c r="B212" s="1" t="s">
        <v>253</v>
      </c>
      <c r="C212" s="1" t="s">
        <v>19</v>
      </c>
      <c r="D212" s="1">
        <v>73</v>
      </c>
      <c r="F212" s="1">
        <v>0</v>
      </c>
      <c r="M212" s="1">
        <f t="shared" si="0"/>
        <v>0</v>
      </c>
    </row>
    <row r="213" spans="1:13" x14ac:dyDescent="0.55000000000000004">
      <c r="A213" s="1" t="s">
        <v>266</v>
      </c>
      <c r="B213" s="1" t="s">
        <v>253</v>
      </c>
      <c r="C213" s="1" t="s">
        <v>19</v>
      </c>
      <c r="D213" s="1">
        <v>95</v>
      </c>
      <c r="F213" s="1">
        <v>4</v>
      </c>
      <c r="M213" s="1">
        <f t="shared" si="0"/>
        <v>4.2105263157894735</v>
      </c>
    </row>
    <row r="214" spans="1:13" x14ac:dyDescent="0.55000000000000004">
      <c r="A214" s="1" t="s">
        <v>267</v>
      </c>
      <c r="B214" s="1" t="s">
        <v>253</v>
      </c>
      <c r="C214" s="1" t="s">
        <v>28</v>
      </c>
      <c r="D214" s="1">
        <v>0</v>
      </c>
      <c r="F214" s="1" t="s">
        <v>66</v>
      </c>
      <c r="H214" s="1">
        <v>3</v>
      </c>
      <c r="J214" s="1">
        <v>10</v>
      </c>
      <c r="M214" s="1" t="e">
        <f t="shared" si="0"/>
        <v>#VALUE!</v>
      </c>
    </row>
    <row r="215" spans="1:13" x14ac:dyDescent="0.55000000000000004">
      <c r="A215" s="1" t="s">
        <v>268</v>
      </c>
      <c r="B215" s="1" t="s">
        <v>253</v>
      </c>
      <c r="C215" s="1" t="s">
        <v>28</v>
      </c>
      <c r="D215" s="1">
        <v>41</v>
      </c>
      <c r="F215" s="1">
        <v>1</v>
      </c>
      <c r="M215" s="1">
        <f t="shared" si="0"/>
        <v>2.4390243902439024</v>
      </c>
    </row>
    <row r="216" spans="1:13" x14ac:dyDescent="0.55000000000000004">
      <c r="A216" s="1" t="s">
        <v>269</v>
      </c>
      <c r="B216" s="1" t="s">
        <v>253</v>
      </c>
      <c r="C216" s="1" t="s">
        <v>28</v>
      </c>
      <c r="D216" s="1">
        <v>23</v>
      </c>
      <c r="F216" s="1">
        <v>0</v>
      </c>
      <c r="M216" s="1">
        <f t="shared" si="0"/>
        <v>0</v>
      </c>
    </row>
    <row r="217" spans="1:13" x14ac:dyDescent="0.55000000000000004">
      <c r="A217" s="1" t="s">
        <v>270</v>
      </c>
      <c r="B217" s="1" t="s">
        <v>253</v>
      </c>
      <c r="C217" s="1" t="s">
        <v>28</v>
      </c>
      <c r="D217" s="1">
        <v>0</v>
      </c>
      <c r="F217" s="1" t="s">
        <v>66</v>
      </c>
      <c r="M217" s="1" t="e">
        <f t="shared" si="0"/>
        <v>#VALUE!</v>
      </c>
    </row>
    <row r="218" spans="1:13" x14ac:dyDescent="0.55000000000000004">
      <c r="A218" s="1" t="s">
        <v>271</v>
      </c>
      <c r="B218" s="1" t="s">
        <v>253</v>
      </c>
      <c r="C218" s="1" t="s">
        <v>28</v>
      </c>
      <c r="D218" s="1">
        <v>10</v>
      </c>
      <c r="F218" s="1">
        <v>0</v>
      </c>
      <c r="M218" s="1">
        <f t="shared" si="0"/>
        <v>0</v>
      </c>
    </row>
    <row r="219" spans="1:13" x14ac:dyDescent="0.55000000000000004">
      <c r="A219" s="1" t="s">
        <v>272</v>
      </c>
      <c r="B219" s="1" t="s">
        <v>253</v>
      </c>
      <c r="C219" s="1" t="s">
        <v>28</v>
      </c>
      <c r="D219" s="1">
        <v>0</v>
      </c>
      <c r="F219" s="1" t="s">
        <v>66</v>
      </c>
      <c r="M219" s="1" t="e">
        <f t="shared" si="0"/>
        <v>#VALUE!</v>
      </c>
    </row>
    <row r="220" spans="1:13" x14ac:dyDescent="0.55000000000000004">
      <c r="A220" s="1" t="s">
        <v>273</v>
      </c>
      <c r="B220" s="1" t="s">
        <v>253</v>
      </c>
      <c r="C220" s="1" t="s">
        <v>28</v>
      </c>
      <c r="D220" s="1">
        <v>72</v>
      </c>
      <c r="F220" s="1">
        <v>6</v>
      </c>
      <c r="M220" s="1">
        <f t="shared" si="0"/>
        <v>8.3333333333333321</v>
      </c>
    </row>
    <row r="221" spans="1:13" x14ac:dyDescent="0.55000000000000004">
      <c r="A221" s="1" t="s">
        <v>274</v>
      </c>
      <c r="B221" s="1" t="s">
        <v>253</v>
      </c>
      <c r="C221" s="1" t="s">
        <v>29</v>
      </c>
      <c r="D221" s="1">
        <v>16</v>
      </c>
      <c r="F221" s="1">
        <v>0</v>
      </c>
      <c r="H221" s="1">
        <v>6</v>
      </c>
      <c r="J221" s="1">
        <v>10</v>
      </c>
      <c r="M221" s="1">
        <f t="shared" si="0"/>
        <v>0</v>
      </c>
    </row>
    <row r="222" spans="1:13" x14ac:dyDescent="0.55000000000000004">
      <c r="A222" s="1" t="s">
        <v>275</v>
      </c>
      <c r="B222" s="1" t="s">
        <v>253</v>
      </c>
      <c r="C222" s="1" t="s">
        <v>29</v>
      </c>
      <c r="D222" s="1">
        <v>0</v>
      </c>
      <c r="F222" s="1" t="s">
        <v>66</v>
      </c>
      <c r="M222" s="1" t="e">
        <f t="shared" si="0"/>
        <v>#VALUE!</v>
      </c>
    </row>
    <row r="223" spans="1:13" x14ac:dyDescent="0.55000000000000004">
      <c r="A223" s="1" t="s">
        <v>276</v>
      </c>
      <c r="B223" s="1" t="s">
        <v>253</v>
      </c>
      <c r="C223" s="1" t="s">
        <v>29</v>
      </c>
      <c r="D223" s="1">
        <v>29</v>
      </c>
      <c r="F223" s="1">
        <v>6</v>
      </c>
      <c r="M223" s="1">
        <f t="shared" si="0"/>
        <v>20.689655172413794</v>
      </c>
    </row>
    <row r="224" spans="1:13" x14ac:dyDescent="0.55000000000000004">
      <c r="A224" s="1" t="s">
        <v>277</v>
      </c>
      <c r="B224" s="1" t="s">
        <v>253</v>
      </c>
      <c r="C224" s="1" t="s">
        <v>29</v>
      </c>
      <c r="D224" s="1">
        <v>0</v>
      </c>
      <c r="F224" s="1" t="s">
        <v>66</v>
      </c>
      <c r="M224" s="1" t="e">
        <f t="shared" si="0"/>
        <v>#VALUE!</v>
      </c>
    </row>
    <row r="225" spans="1:13" x14ac:dyDescent="0.55000000000000004">
      <c r="A225" s="1" t="s">
        <v>278</v>
      </c>
      <c r="B225" s="1" t="s">
        <v>253</v>
      </c>
      <c r="C225" s="1" t="s">
        <v>30</v>
      </c>
      <c r="D225" s="1">
        <v>103</v>
      </c>
      <c r="F225" s="1">
        <v>42</v>
      </c>
      <c r="H225" s="1" t="s">
        <v>279</v>
      </c>
      <c r="J225" s="1">
        <v>10</v>
      </c>
      <c r="M225" s="1">
        <f t="shared" si="0"/>
        <v>40.776699029126213</v>
      </c>
    </row>
    <row r="226" spans="1:13" x14ac:dyDescent="0.55000000000000004">
      <c r="A226" s="1" t="s">
        <v>280</v>
      </c>
      <c r="B226" s="1" t="s">
        <v>253</v>
      </c>
      <c r="C226" s="1" t="s">
        <v>30</v>
      </c>
      <c r="D226" s="1">
        <v>88</v>
      </c>
      <c r="F226" s="1">
        <v>33</v>
      </c>
      <c r="M226" s="1">
        <f t="shared" si="0"/>
        <v>37.5</v>
      </c>
    </row>
    <row r="227" spans="1:13" x14ac:dyDescent="0.55000000000000004">
      <c r="A227" s="1" t="s">
        <v>281</v>
      </c>
      <c r="B227" s="1" t="s">
        <v>253</v>
      </c>
      <c r="C227" s="1" t="s">
        <v>30</v>
      </c>
      <c r="D227" s="1">
        <v>47</v>
      </c>
      <c r="F227" s="1">
        <v>38</v>
      </c>
      <c r="M227" s="1">
        <f t="shared" si="0"/>
        <v>80.851063829787222</v>
      </c>
    </row>
    <row r="228" spans="1:13" x14ac:dyDescent="0.55000000000000004">
      <c r="A228" s="1" t="s">
        <v>282</v>
      </c>
      <c r="B228" s="1" t="s">
        <v>253</v>
      </c>
      <c r="C228" s="1" t="s">
        <v>30</v>
      </c>
      <c r="D228" s="1">
        <v>0</v>
      </c>
      <c r="E228" s="1" t="s">
        <v>201</v>
      </c>
      <c r="F228" s="1" t="s">
        <v>66</v>
      </c>
      <c r="M228" s="1" t="e">
        <f t="shared" si="0"/>
        <v>#VALUE!</v>
      </c>
    </row>
    <row r="229" spans="1:13" x14ac:dyDescent="0.55000000000000004">
      <c r="A229" s="1" t="s">
        <v>283</v>
      </c>
      <c r="B229" s="1" t="s">
        <v>253</v>
      </c>
      <c r="C229" s="1" t="s">
        <v>30</v>
      </c>
      <c r="D229" s="1">
        <v>42</v>
      </c>
      <c r="F229" s="1">
        <v>0</v>
      </c>
      <c r="G229" s="1" t="s">
        <v>259</v>
      </c>
      <c r="M229" s="1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44A5-FC0C-4907-944D-AE5450006633}">
  <dimension ref="A1:O33"/>
  <sheetViews>
    <sheetView workbookViewId="0">
      <selection activeCell="Q12" sqref="Q12"/>
    </sheetView>
  </sheetViews>
  <sheetFormatPr defaultRowHeight="14.4" x14ac:dyDescent="0.55000000000000004"/>
  <cols>
    <col min="1" max="1" width="9.3125" bestFit="1" customWidth="1"/>
    <col min="2" max="2" width="16.05078125" bestFit="1" customWidth="1"/>
    <col min="3" max="3" width="8.26171875" bestFit="1" customWidth="1"/>
    <col min="5" max="5" width="9.3125" bestFit="1" customWidth="1"/>
    <col min="6" max="6" width="16.05078125" bestFit="1" customWidth="1"/>
    <col min="7" max="7" width="8.26171875" bestFit="1" customWidth="1"/>
    <col min="9" max="9" width="9.3125" bestFit="1" customWidth="1"/>
    <col min="10" max="10" width="16.05078125" bestFit="1" customWidth="1"/>
    <col min="11" max="11" width="8.26171875" bestFit="1" customWidth="1"/>
    <col min="13" max="13" width="9.3125" bestFit="1" customWidth="1"/>
    <col min="14" max="14" width="16.05078125" bestFit="1" customWidth="1"/>
    <col min="15" max="15" width="8.26171875" bestFit="1" customWidth="1"/>
  </cols>
  <sheetData>
    <row r="1" spans="1:15" x14ac:dyDescent="0.55000000000000004">
      <c r="A1" s="8" t="s">
        <v>289</v>
      </c>
      <c r="B1" s="9"/>
      <c r="C1" s="9"/>
      <c r="E1" s="8" t="s">
        <v>309</v>
      </c>
      <c r="F1" s="9"/>
      <c r="G1" s="9"/>
      <c r="I1" s="8" t="s">
        <v>320</v>
      </c>
      <c r="J1" s="9"/>
      <c r="K1" s="9"/>
      <c r="M1" s="8" t="s">
        <v>332</v>
      </c>
      <c r="N1" s="9"/>
      <c r="O1" s="9"/>
    </row>
    <row r="2" spans="1:15" x14ac:dyDescent="0.55000000000000004">
      <c r="A2" s="10" t="s">
        <v>290</v>
      </c>
      <c r="B2" s="11" t="s">
        <v>291</v>
      </c>
      <c r="C2" s="10" t="s">
        <v>292</v>
      </c>
      <c r="E2" s="10" t="s">
        <v>290</v>
      </c>
      <c r="F2" s="11" t="s">
        <v>291</v>
      </c>
      <c r="G2" s="10" t="s">
        <v>292</v>
      </c>
      <c r="I2" s="10" t="s">
        <v>290</v>
      </c>
      <c r="J2" s="11" t="s">
        <v>291</v>
      </c>
      <c r="K2" s="10" t="s">
        <v>292</v>
      </c>
      <c r="M2" s="10" t="s">
        <v>290</v>
      </c>
      <c r="N2" s="11" t="s">
        <v>291</v>
      </c>
      <c r="O2" s="10" t="s">
        <v>292</v>
      </c>
    </row>
    <row r="3" spans="1:15" x14ac:dyDescent="0.55000000000000004">
      <c r="A3" s="11" t="s">
        <v>293</v>
      </c>
      <c r="B3" s="11" t="s">
        <v>294</v>
      </c>
      <c r="C3" s="11" t="s">
        <v>295</v>
      </c>
      <c r="E3" s="11" t="s">
        <v>310</v>
      </c>
      <c r="F3" s="11" t="s">
        <v>294</v>
      </c>
      <c r="G3" s="11" t="s">
        <v>295</v>
      </c>
      <c r="I3" s="11" t="s">
        <v>321</v>
      </c>
      <c r="J3" s="11" t="s">
        <v>294</v>
      </c>
      <c r="K3" s="11" t="s">
        <v>295</v>
      </c>
      <c r="M3" s="11" t="s">
        <v>333</v>
      </c>
      <c r="N3" s="11" t="s">
        <v>294</v>
      </c>
      <c r="O3" s="11" t="s">
        <v>295</v>
      </c>
    </row>
    <row r="4" spans="1:15" x14ac:dyDescent="0.55000000000000004">
      <c r="A4" s="11" t="s">
        <v>295</v>
      </c>
      <c r="B4" s="11" t="s">
        <v>342</v>
      </c>
      <c r="C4" s="11" t="s">
        <v>296</v>
      </c>
      <c r="E4" s="11" t="s">
        <v>295</v>
      </c>
      <c r="F4" s="11" t="s">
        <v>342</v>
      </c>
      <c r="G4" s="11" t="s">
        <v>311</v>
      </c>
      <c r="I4" s="11" t="s">
        <v>295</v>
      </c>
      <c r="J4" s="11" t="s">
        <v>342</v>
      </c>
      <c r="K4" s="11" t="s">
        <v>322</v>
      </c>
      <c r="M4" s="11" t="s">
        <v>295</v>
      </c>
      <c r="N4" s="11" t="s">
        <v>342</v>
      </c>
      <c r="O4" s="11" t="s">
        <v>334</v>
      </c>
    </row>
    <row r="5" spans="1:15" x14ac:dyDescent="0.55000000000000004">
      <c r="A5" s="11" t="s">
        <v>297</v>
      </c>
      <c r="B5" s="11" t="s">
        <v>298</v>
      </c>
      <c r="C5" s="11" t="s">
        <v>299</v>
      </c>
      <c r="E5" s="11" t="s">
        <v>312</v>
      </c>
      <c r="F5" s="11" t="s">
        <v>298</v>
      </c>
      <c r="G5" s="11" t="s">
        <v>306</v>
      </c>
      <c r="I5" s="11" t="s">
        <v>323</v>
      </c>
      <c r="J5" s="11" t="s">
        <v>298</v>
      </c>
      <c r="K5" s="11" t="s">
        <v>324</v>
      </c>
      <c r="M5" s="11" t="s">
        <v>335</v>
      </c>
      <c r="N5" s="11" t="s">
        <v>298</v>
      </c>
      <c r="O5" s="11" t="s">
        <v>322</v>
      </c>
    </row>
    <row r="6" spans="1:15" x14ac:dyDescent="0.55000000000000004">
      <c r="A6" s="11" t="s">
        <v>300</v>
      </c>
      <c r="B6" s="11" t="s">
        <v>301</v>
      </c>
      <c r="C6" s="11" t="s">
        <v>302</v>
      </c>
      <c r="E6" s="11" t="s">
        <v>313</v>
      </c>
      <c r="F6" s="11" t="s">
        <v>301</v>
      </c>
      <c r="G6" s="11" t="s">
        <v>314</v>
      </c>
      <c r="I6" s="11" t="s">
        <v>325</v>
      </c>
      <c r="J6" s="11" t="s">
        <v>301</v>
      </c>
      <c r="K6" s="11" t="s">
        <v>326</v>
      </c>
      <c r="M6" s="11" t="s">
        <v>336</v>
      </c>
      <c r="N6" s="11" t="s">
        <v>301</v>
      </c>
      <c r="O6" s="12" t="s">
        <v>343</v>
      </c>
    </row>
    <row r="7" spans="1:15" x14ac:dyDescent="0.55000000000000004">
      <c r="A7" s="11" t="s">
        <v>295</v>
      </c>
      <c r="B7" s="11" t="s">
        <v>303</v>
      </c>
      <c r="C7" s="11" t="s">
        <v>302</v>
      </c>
      <c r="E7" s="11" t="s">
        <v>295</v>
      </c>
      <c r="F7" s="11" t="s">
        <v>303</v>
      </c>
      <c r="G7" s="11" t="s">
        <v>315</v>
      </c>
      <c r="I7" s="11" t="s">
        <v>295</v>
      </c>
      <c r="J7" s="11" t="s">
        <v>303</v>
      </c>
      <c r="K7" s="11" t="s">
        <v>327</v>
      </c>
      <c r="M7" s="11" t="s">
        <v>295</v>
      </c>
      <c r="N7" s="11" t="s">
        <v>303</v>
      </c>
      <c r="O7" s="11" t="s">
        <v>337</v>
      </c>
    </row>
    <row r="8" spans="1:15" x14ac:dyDescent="0.55000000000000004">
      <c r="A8" s="11" t="s">
        <v>304</v>
      </c>
      <c r="B8" s="11" t="s">
        <v>305</v>
      </c>
      <c r="C8" s="11" t="s">
        <v>306</v>
      </c>
      <c r="E8" s="11" t="s">
        <v>316</v>
      </c>
      <c r="F8" s="11" t="s">
        <v>305</v>
      </c>
      <c r="G8" s="11" t="s">
        <v>317</v>
      </c>
      <c r="I8" s="11" t="s">
        <v>328</v>
      </c>
      <c r="J8" s="11" t="s">
        <v>305</v>
      </c>
      <c r="K8" s="11" t="s">
        <v>329</v>
      </c>
      <c r="M8" s="11" t="s">
        <v>338</v>
      </c>
      <c r="N8" s="11" t="s">
        <v>305</v>
      </c>
      <c r="O8" s="11" t="s">
        <v>339</v>
      </c>
    </row>
    <row r="9" spans="1:15" x14ac:dyDescent="0.55000000000000004">
      <c r="A9" s="11" t="s">
        <v>293</v>
      </c>
      <c r="B9" s="11" t="s">
        <v>307</v>
      </c>
      <c r="C9" s="11" t="s">
        <v>308</v>
      </c>
      <c r="E9" s="11" t="s">
        <v>318</v>
      </c>
      <c r="F9" s="11" t="s">
        <v>307</v>
      </c>
      <c r="G9" s="11" t="s">
        <v>319</v>
      </c>
      <c r="I9" s="11" t="s">
        <v>330</v>
      </c>
      <c r="J9" s="11" t="s">
        <v>307</v>
      </c>
      <c r="K9" s="11" t="s">
        <v>331</v>
      </c>
      <c r="M9" s="11" t="s">
        <v>340</v>
      </c>
      <c r="N9" s="11" t="s">
        <v>307</v>
      </c>
      <c r="O9" s="11" t="s">
        <v>341</v>
      </c>
    </row>
    <row r="10" spans="1:15" x14ac:dyDescent="0.55000000000000004">
      <c r="A10" s="11"/>
      <c r="B10" s="11"/>
      <c r="C10" s="11"/>
    </row>
    <row r="11" spans="1:15" x14ac:dyDescent="0.55000000000000004">
      <c r="A11" s="11"/>
      <c r="B11" s="11"/>
      <c r="C11" s="11"/>
    </row>
    <row r="21" spans="1:3" x14ac:dyDescent="0.55000000000000004">
      <c r="A21" s="11"/>
      <c r="B21" s="11"/>
      <c r="C21" s="11"/>
    </row>
    <row r="22" spans="1:3" x14ac:dyDescent="0.55000000000000004">
      <c r="A22" s="11"/>
      <c r="B22" s="11"/>
      <c r="C22" s="11"/>
    </row>
    <row r="32" spans="1:3" x14ac:dyDescent="0.55000000000000004">
      <c r="A32" s="11"/>
      <c r="B32" s="11"/>
      <c r="C32" s="11"/>
    </row>
    <row r="33" spans="1:3" x14ac:dyDescent="0.55000000000000004">
      <c r="A33" s="11"/>
      <c r="B33" s="11"/>
      <c r="C33" s="11"/>
    </row>
  </sheetData>
  <mergeCells count="4">
    <mergeCell ref="A1:C1"/>
    <mergeCell ref="E1:G1"/>
    <mergeCell ref="I1:K1"/>
    <mergeCell ref="M1:O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16EE-CA92-4A0F-B5AF-59DCDF17EB73}">
  <dimension ref="A1:G351"/>
  <sheetViews>
    <sheetView workbookViewId="0">
      <selection activeCell="G253" sqref="G253"/>
    </sheetView>
  </sheetViews>
  <sheetFormatPr defaultRowHeight="14.4" x14ac:dyDescent="0.55000000000000004"/>
  <cols>
    <col min="1" max="1" width="11" bestFit="1" customWidth="1"/>
    <col min="3" max="3" width="12.05078125" bestFit="1" customWidth="1"/>
    <col min="4" max="4" width="7.41796875" bestFit="1" customWidth="1"/>
    <col min="5" max="5" width="10.26171875" bestFit="1" customWidth="1"/>
    <col min="6" max="6" width="9.9453125" bestFit="1" customWidth="1"/>
    <col min="7" max="7" width="10.26171875" bestFit="1" customWidth="1"/>
  </cols>
  <sheetData>
    <row r="1" spans="1:7" x14ac:dyDescent="0.55000000000000004">
      <c r="A1" s="4" t="s">
        <v>284</v>
      </c>
      <c r="B1" s="4" t="s">
        <v>1</v>
      </c>
      <c r="C1" s="7" t="s">
        <v>285</v>
      </c>
      <c r="D1" s="4" t="s">
        <v>37</v>
      </c>
      <c r="E1" s="4" t="s">
        <v>286</v>
      </c>
      <c r="F1" s="4" t="s">
        <v>38</v>
      </c>
      <c r="G1" s="4" t="s">
        <v>286</v>
      </c>
    </row>
    <row r="2" spans="1:7" x14ac:dyDescent="0.55000000000000004">
      <c r="A2" s="5" t="s">
        <v>15</v>
      </c>
      <c r="B2" s="5" t="s">
        <v>42</v>
      </c>
      <c r="C2" s="6">
        <v>1</v>
      </c>
      <c r="D2" s="6">
        <v>0</v>
      </c>
      <c r="E2" s="5"/>
      <c r="F2" s="6">
        <v>0</v>
      </c>
      <c r="G2" s="5"/>
    </row>
    <row r="3" spans="1:7" x14ac:dyDescent="0.55000000000000004">
      <c r="A3" s="5" t="s">
        <v>18</v>
      </c>
      <c r="B3" s="5" t="s">
        <v>42</v>
      </c>
      <c r="C3" s="6">
        <v>1</v>
      </c>
      <c r="D3" s="6">
        <v>136</v>
      </c>
      <c r="E3" s="5"/>
      <c r="F3" s="6">
        <v>0</v>
      </c>
      <c r="G3" s="5"/>
    </row>
    <row r="4" spans="1:7" x14ac:dyDescent="0.55000000000000004">
      <c r="A4" s="5" t="s">
        <v>22</v>
      </c>
      <c r="B4" s="5" t="s">
        <v>42</v>
      </c>
      <c r="C4" s="6">
        <v>1</v>
      </c>
      <c r="D4" s="6">
        <v>0</v>
      </c>
      <c r="E4" s="5"/>
      <c r="F4" s="6">
        <v>0</v>
      </c>
      <c r="G4" s="5"/>
    </row>
    <row r="5" spans="1:7" x14ac:dyDescent="0.55000000000000004">
      <c r="A5" s="5" t="s">
        <v>26</v>
      </c>
      <c r="B5" s="5" t="s">
        <v>42</v>
      </c>
      <c r="C5" s="6">
        <v>1</v>
      </c>
      <c r="D5" s="6">
        <v>0</v>
      </c>
      <c r="E5" s="5"/>
      <c r="F5" s="6">
        <v>0</v>
      </c>
      <c r="G5" s="5"/>
    </row>
    <row r="6" spans="1:7" x14ac:dyDescent="0.55000000000000004">
      <c r="A6" s="5" t="s">
        <v>14</v>
      </c>
      <c r="B6" s="5" t="s">
        <v>42</v>
      </c>
      <c r="C6" s="6">
        <v>1</v>
      </c>
      <c r="D6" s="6">
        <v>59</v>
      </c>
      <c r="E6" s="5"/>
      <c r="F6" s="6">
        <v>59</v>
      </c>
      <c r="G6" s="5"/>
    </row>
    <row r="7" spans="1:7" x14ac:dyDescent="0.55000000000000004">
      <c r="A7" s="5" t="s">
        <v>17</v>
      </c>
      <c r="B7" s="5" t="s">
        <v>42</v>
      </c>
      <c r="C7" s="6">
        <v>1</v>
      </c>
      <c r="D7" s="6">
        <v>75</v>
      </c>
      <c r="E7" s="5"/>
      <c r="F7" s="6">
        <v>66</v>
      </c>
      <c r="G7" s="5"/>
    </row>
    <row r="8" spans="1:7" x14ac:dyDescent="0.55000000000000004">
      <c r="A8" s="5" t="s">
        <v>21</v>
      </c>
      <c r="B8" s="5" t="s">
        <v>42</v>
      </c>
      <c r="C8" s="6">
        <v>1</v>
      </c>
      <c r="D8" s="6">
        <v>153</v>
      </c>
      <c r="E8" s="5"/>
      <c r="F8" s="6">
        <v>138</v>
      </c>
      <c r="G8" s="5"/>
    </row>
    <row r="9" spans="1:7" x14ac:dyDescent="0.55000000000000004">
      <c r="A9" s="5" t="s">
        <v>25</v>
      </c>
      <c r="B9" s="5" t="s">
        <v>42</v>
      </c>
      <c r="C9" s="6">
        <v>1</v>
      </c>
      <c r="D9" s="6">
        <v>0</v>
      </c>
      <c r="E9" s="5"/>
      <c r="F9" s="6">
        <v>0</v>
      </c>
      <c r="G9" s="5"/>
    </row>
    <row r="10" spans="1:7" x14ac:dyDescent="0.55000000000000004">
      <c r="A10" s="5" t="s">
        <v>13</v>
      </c>
      <c r="B10" s="5" t="s">
        <v>42</v>
      </c>
      <c r="C10" s="6">
        <v>1</v>
      </c>
      <c r="D10" s="6" t="s">
        <v>287</v>
      </c>
      <c r="E10" s="5"/>
      <c r="F10" s="6" t="s">
        <v>287</v>
      </c>
      <c r="G10" s="5"/>
    </row>
    <row r="11" spans="1:7" x14ac:dyDescent="0.55000000000000004">
      <c r="A11" s="5" t="s">
        <v>16</v>
      </c>
      <c r="B11" s="5" t="s">
        <v>42</v>
      </c>
      <c r="C11" s="6">
        <v>1</v>
      </c>
      <c r="D11" s="6" t="s">
        <v>287</v>
      </c>
      <c r="E11" s="5"/>
      <c r="F11" s="6" t="s">
        <v>287</v>
      </c>
      <c r="G11" s="5"/>
    </row>
    <row r="12" spans="1:7" x14ac:dyDescent="0.55000000000000004">
      <c r="A12" s="5" t="s">
        <v>15</v>
      </c>
      <c r="B12" s="5" t="s">
        <v>42</v>
      </c>
      <c r="C12" s="6">
        <v>2</v>
      </c>
      <c r="D12" s="6">
        <v>0</v>
      </c>
      <c r="E12" s="5"/>
      <c r="F12" s="6">
        <v>0</v>
      </c>
      <c r="G12" s="5"/>
    </row>
    <row r="13" spans="1:7" x14ac:dyDescent="0.55000000000000004">
      <c r="A13" s="5" t="s">
        <v>18</v>
      </c>
      <c r="B13" s="5" t="s">
        <v>42</v>
      </c>
      <c r="C13" s="6">
        <v>2</v>
      </c>
      <c r="D13" s="6">
        <v>0</v>
      </c>
      <c r="E13" s="5"/>
      <c r="F13" s="6">
        <v>0</v>
      </c>
      <c r="G13" s="5"/>
    </row>
    <row r="14" spans="1:7" x14ac:dyDescent="0.55000000000000004">
      <c r="A14" s="5" t="s">
        <v>22</v>
      </c>
      <c r="B14" s="5" t="s">
        <v>42</v>
      </c>
      <c r="C14" s="6">
        <v>2</v>
      </c>
      <c r="D14" s="6">
        <v>0</v>
      </c>
      <c r="E14" s="5"/>
      <c r="F14" s="6">
        <v>0</v>
      </c>
      <c r="G14" s="5"/>
    </row>
    <row r="15" spans="1:7" x14ac:dyDescent="0.55000000000000004">
      <c r="A15" s="5" t="s">
        <v>26</v>
      </c>
      <c r="B15" s="5" t="s">
        <v>42</v>
      </c>
      <c r="C15" s="6">
        <v>2</v>
      </c>
      <c r="D15" s="6">
        <v>0</v>
      </c>
      <c r="E15" s="5"/>
      <c r="F15" s="6">
        <v>0</v>
      </c>
      <c r="G15" s="5"/>
    </row>
    <row r="16" spans="1:7" x14ac:dyDescent="0.55000000000000004">
      <c r="A16" s="5" t="s">
        <v>14</v>
      </c>
      <c r="B16" s="5" t="s">
        <v>42</v>
      </c>
      <c r="C16" s="6">
        <v>2</v>
      </c>
      <c r="D16" s="6">
        <v>0</v>
      </c>
      <c r="E16" s="5"/>
      <c r="F16" s="6">
        <v>0</v>
      </c>
      <c r="G16" s="5"/>
    </row>
    <row r="17" spans="1:7" x14ac:dyDescent="0.55000000000000004">
      <c r="A17" s="5" t="s">
        <v>17</v>
      </c>
      <c r="B17" s="5" t="s">
        <v>42</v>
      </c>
      <c r="C17" s="6">
        <v>2</v>
      </c>
      <c r="D17" s="6" t="s">
        <v>287</v>
      </c>
      <c r="E17" s="5"/>
      <c r="F17" s="6" t="s">
        <v>287</v>
      </c>
      <c r="G17" s="5"/>
    </row>
    <row r="18" spans="1:7" x14ac:dyDescent="0.55000000000000004">
      <c r="A18" s="5" t="s">
        <v>21</v>
      </c>
      <c r="B18" s="5" t="s">
        <v>42</v>
      </c>
      <c r="C18" s="6">
        <v>2</v>
      </c>
      <c r="D18" s="6" t="s">
        <v>287</v>
      </c>
      <c r="E18" s="5"/>
      <c r="F18" s="6" t="s">
        <v>287</v>
      </c>
      <c r="G18" s="5"/>
    </row>
    <row r="19" spans="1:7" x14ac:dyDescent="0.55000000000000004">
      <c r="A19" s="5" t="s">
        <v>25</v>
      </c>
      <c r="B19" s="5" t="s">
        <v>42</v>
      </c>
      <c r="C19" s="6">
        <v>2</v>
      </c>
      <c r="D19" s="6" t="s">
        <v>287</v>
      </c>
      <c r="E19" s="5"/>
      <c r="F19" s="6" t="s">
        <v>287</v>
      </c>
      <c r="G19" s="5"/>
    </row>
    <row r="20" spans="1:7" x14ac:dyDescent="0.55000000000000004">
      <c r="A20" s="5" t="s">
        <v>13</v>
      </c>
      <c r="B20" s="5" t="s">
        <v>42</v>
      </c>
      <c r="C20" s="6">
        <v>2</v>
      </c>
      <c r="D20" s="6" t="s">
        <v>287</v>
      </c>
      <c r="E20" s="5"/>
      <c r="F20" s="6" t="s">
        <v>287</v>
      </c>
      <c r="G20" s="5"/>
    </row>
    <row r="21" spans="1:7" x14ac:dyDescent="0.55000000000000004">
      <c r="A21" s="5" t="s">
        <v>16</v>
      </c>
      <c r="B21" s="5" t="s">
        <v>42</v>
      </c>
      <c r="C21" s="6">
        <v>2</v>
      </c>
      <c r="D21" s="6" t="s">
        <v>287</v>
      </c>
      <c r="E21" s="5"/>
      <c r="F21" s="6" t="s">
        <v>287</v>
      </c>
      <c r="G21" s="5"/>
    </row>
    <row r="22" spans="1:7" x14ac:dyDescent="0.55000000000000004">
      <c r="A22" s="5" t="s">
        <v>15</v>
      </c>
      <c r="B22" s="5" t="s">
        <v>42</v>
      </c>
      <c r="C22" s="6">
        <v>3</v>
      </c>
      <c r="D22" s="6">
        <v>0</v>
      </c>
      <c r="E22" s="5"/>
      <c r="F22" s="6">
        <v>0</v>
      </c>
      <c r="G22" s="5"/>
    </row>
    <row r="23" spans="1:7" x14ac:dyDescent="0.55000000000000004">
      <c r="A23" s="5" t="s">
        <v>18</v>
      </c>
      <c r="B23" s="5" t="s">
        <v>42</v>
      </c>
      <c r="C23" s="6">
        <v>3</v>
      </c>
      <c r="D23" s="6">
        <v>146</v>
      </c>
      <c r="E23" s="5"/>
      <c r="F23" s="6">
        <v>16</v>
      </c>
      <c r="G23" s="5"/>
    </row>
    <row r="24" spans="1:7" x14ac:dyDescent="0.55000000000000004">
      <c r="A24" s="5" t="s">
        <v>22</v>
      </c>
      <c r="B24" s="5" t="s">
        <v>42</v>
      </c>
      <c r="C24" s="6">
        <v>3</v>
      </c>
      <c r="D24" s="6">
        <v>0</v>
      </c>
      <c r="E24" s="5"/>
      <c r="F24" s="6">
        <v>0</v>
      </c>
      <c r="G24" s="5"/>
    </row>
    <row r="25" spans="1:7" x14ac:dyDescent="0.55000000000000004">
      <c r="A25" s="5" t="s">
        <v>26</v>
      </c>
      <c r="B25" s="5" t="s">
        <v>42</v>
      </c>
      <c r="C25" s="6">
        <v>3</v>
      </c>
      <c r="D25" s="6">
        <v>0</v>
      </c>
      <c r="E25" s="5"/>
      <c r="F25" s="6">
        <v>0</v>
      </c>
      <c r="G25" s="5"/>
    </row>
    <row r="26" spans="1:7" x14ac:dyDescent="0.55000000000000004">
      <c r="A26" s="5" t="s">
        <v>14</v>
      </c>
      <c r="B26" s="5" t="s">
        <v>42</v>
      </c>
      <c r="C26" s="6">
        <v>3</v>
      </c>
      <c r="D26" s="6" t="s">
        <v>287</v>
      </c>
      <c r="E26" s="5"/>
      <c r="F26" s="6" t="s">
        <v>287</v>
      </c>
      <c r="G26" s="5"/>
    </row>
    <row r="27" spans="1:7" x14ac:dyDescent="0.55000000000000004">
      <c r="A27" s="5" t="s">
        <v>17</v>
      </c>
      <c r="B27" s="5" t="s">
        <v>42</v>
      </c>
      <c r="C27" s="6">
        <v>3</v>
      </c>
      <c r="D27" s="6" t="s">
        <v>287</v>
      </c>
      <c r="E27" s="5"/>
      <c r="F27" s="6" t="s">
        <v>287</v>
      </c>
      <c r="G27" s="5"/>
    </row>
    <row r="28" spans="1:7" x14ac:dyDescent="0.55000000000000004">
      <c r="A28" s="5" t="s">
        <v>21</v>
      </c>
      <c r="B28" s="5" t="s">
        <v>42</v>
      </c>
      <c r="C28" s="6">
        <v>3</v>
      </c>
      <c r="D28" s="6" t="s">
        <v>287</v>
      </c>
      <c r="E28" s="5"/>
      <c r="F28" s="6" t="s">
        <v>287</v>
      </c>
      <c r="G28" s="5"/>
    </row>
    <row r="29" spans="1:7" x14ac:dyDescent="0.55000000000000004">
      <c r="A29" s="5" t="s">
        <v>25</v>
      </c>
      <c r="B29" s="5" t="s">
        <v>42</v>
      </c>
      <c r="C29" s="6">
        <v>3</v>
      </c>
      <c r="D29" s="6" t="s">
        <v>287</v>
      </c>
      <c r="E29" s="5"/>
      <c r="F29" s="6" t="s">
        <v>287</v>
      </c>
      <c r="G29" s="5"/>
    </row>
    <row r="30" spans="1:7" x14ac:dyDescent="0.55000000000000004">
      <c r="A30" s="5" t="s">
        <v>13</v>
      </c>
      <c r="B30" s="5" t="s">
        <v>42</v>
      </c>
      <c r="C30" s="6">
        <v>3</v>
      </c>
      <c r="D30" s="6" t="s">
        <v>287</v>
      </c>
      <c r="E30" s="5"/>
      <c r="F30" s="6" t="s">
        <v>287</v>
      </c>
      <c r="G30" s="5"/>
    </row>
    <row r="31" spans="1:7" x14ac:dyDescent="0.55000000000000004">
      <c r="A31" s="5" t="s">
        <v>16</v>
      </c>
      <c r="B31" s="5" t="s">
        <v>42</v>
      </c>
      <c r="C31" s="6">
        <v>3</v>
      </c>
      <c r="D31" s="6" t="s">
        <v>287</v>
      </c>
      <c r="E31" s="5"/>
      <c r="F31" s="6" t="s">
        <v>287</v>
      </c>
      <c r="G31" s="5"/>
    </row>
    <row r="32" spans="1:7" x14ac:dyDescent="0.55000000000000004">
      <c r="A32" s="5" t="s">
        <v>15</v>
      </c>
      <c r="B32" s="5" t="s">
        <v>42</v>
      </c>
      <c r="C32" s="6">
        <v>4</v>
      </c>
      <c r="D32" s="6">
        <v>74</v>
      </c>
      <c r="E32" s="5"/>
      <c r="F32" s="6">
        <v>71</v>
      </c>
      <c r="G32" s="5"/>
    </row>
    <row r="33" spans="1:7" x14ac:dyDescent="0.55000000000000004">
      <c r="A33" s="5" t="s">
        <v>18</v>
      </c>
      <c r="B33" s="5" t="s">
        <v>42</v>
      </c>
      <c r="C33" s="6">
        <v>4</v>
      </c>
      <c r="D33" s="6">
        <v>31</v>
      </c>
      <c r="E33" s="5"/>
      <c r="F33" s="6">
        <v>18</v>
      </c>
      <c r="G33" s="5"/>
    </row>
    <row r="34" spans="1:7" x14ac:dyDescent="0.55000000000000004">
      <c r="A34" s="5" t="s">
        <v>22</v>
      </c>
      <c r="B34" s="5" t="s">
        <v>42</v>
      </c>
      <c r="C34" s="6">
        <v>4</v>
      </c>
      <c r="D34" s="6">
        <v>63</v>
      </c>
      <c r="E34" s="5"/>
      <c r="F34" s="6">
        <v>57</v>
      </c>
      <c r="G34" s="5"/>
    </row>
    <row r="35" spans="1:7" x14ac:dyDescent="0.55000000000000004">
      <c r="A35" s="5" t="s">
        <v>26</v>
      </c>
      <c r="B35" s="5" t="s">
        <v>42</v>
      </c>
      <c r="C35" s="6">
        <v>4</v>
      </c>
      <c r="D35" s="6">
        <v>0</v>
      </c>
      <c r="E35" s="5"/>
      <c r="F35" s="6">
        <v>0</v>
      </c>
      <c r="G35" s="5"/>
    </row>
    <row r="36" spans="1:7" x14ac:dyDescent="0.55000000000000004">
      <c r="A36" s="5" t="s">
        <v>14</v>
      </c>
      <c r="B36" s="5" t="s">
        <v>42</v>
      </c>
      <c r="C36" s="6">
        <v>4</v>
      </c>
      <c r="D36" s="6">
        <v>0</v>
      </c>
      <c r="E36" s="5"/>
      <c r="F36" s="6">
        <v>0</v>
      </c>
      <c r="G36" s="5"/>
    </row>
    <row r="37" spans="1:7" x14ac:dyDescent="0.55000000000000004">
      <c r="A37" s="5" t="s">
        <v>17</v>
      </c>
      <c r="B37" s="5" t="s">
        <v>42</v>
      </c>
      <c r="C37" s="6">
        <v>4</v>
      </c>
      <c r="D37" s="6">
        <v>0</v>
      </c>
      <c r="E37" s="5"/>
      <c r="F37" s="6">
        <v>0</v>
      </c>
      <c r="G37" s="5"/>
    </row>
    <row r="38" spans="1:7" x14ac:dyDescent="0.55000000000000004">
      <c r="A38" s="5" t="s">
        <v>21</v>
      </c>
      <c r="B38" s="5" t="s">
        <v>42</v>
      </c>
      <c r="C38" s="6">
        <v>4</v>
      </c>
      <c r="D38" s="6" t="s">
        <v>287</v>
      </c>
      <c r="E38" s="5"/>
      <c r="F38" s="6" t="s">
        <v>287</v>
      </c>
      <c r="G38" s="5"/>
    </row>
    <row r="39" spans="1:7" x14ac:dyDescent="0.55000000000000004">
      <c r="A39" s="5" t="s">
        <v>25</v>
      </c>
      <c r="B39" s="5" t="s">
        <v>42</v>
      </c>
      <c r="C39" s="6">
        <v>4</v>
      </c>
      <c r="D39" s="6" t="s">
        <v>287</v>
      </c>
      <c r="E39" s="5"/>
      <c r="F39" s="6" t="s">
        <v>287</v>
      </c>
      <c r="G39" s="5"/>
    </row>
    <row r="40" spans="1:7" x14ac:dyDescent="0.55000000000000004">
      <c r="A40" s="5" t="s">
        <v>13</v>
      </c>
      <c r="B40" s="5" t="s">
        <v>42</v>
      </c>
      <c r="C40" s="6">
        <v>4</v>
      </c>
      <c r="D40" s="6" t="s">
        <v>287</v>
      </c>
      <c r="E40" s="5"/>
      <c r="F40" s="6" t="s">
        <v>287</v>
      </c>
      <c r="G40" s="5"/>
    </row>
    <row r="41" spans="1:7" x14ac:dyDescent="0.55000000000000004">
      <c r="A41" s="5" t="s">
        <v>16</v>
      </c>
      <c r="B41" s="5" t="s">
        <v>42</v>
      </c>
      <c r="C41" s="6">
        <v>4</v>
      </c>
      <c r="D41" s="6" t="s">
        <v>287</v>
      </c>
      <c r="E41" s="5"/>
      <c r="F41" s="6" t="s">
        <v>287</v>
      </c>
      <c r="G41" s="5"/>
    </row>
    <row r="42" spans="1:7" x14ac:dyDescent="0.55000000000000004">
      <c r="A42" s="5" t="s">
        <v>15</v>
      </c>
      <c r="B42" s="5" t="s">
        <v>42</v>
      </c>
      <c r="C42" s="6">
        <v>5</v>
      </c>
      <c r="D42" s="6">
        <v>0</v>
      </c>
      <c r="E42" s="5"/>
      <c r="F42" s="6">
        <v>0</v>
      </c>
      <c r="G42" s="5"/>
    </row>
    <row r="43" spans="1:7" x14ac:dyDescent="0.55000000000000004">
      <c r="A43" s="5" t="s">
        <v>18</v>
      </c>
      <c r="B43" s="5" t="s">
        <v>42</v>
      </c>
      <c r="C43" s="6">
        <v>5</v>
      </c>
      <c r="D43" s="6">
        <v>0</v>
      </c>
      <c r="E43" s="5"/>
      <c r="F43" s="6">
        <v>0</v>
      </c>
      <c r="G43" s="5"/>
    </row>
    <row r="44" spans="1:7" x14ac:dyDescent="0.55000000000000004">
      <c r="A44" s="5" t="s">
        <v>22</v>
      </c>
      <c r="B44" s="5" t="s">
        <v>42</v>
      </c>
      <c r="C44" s="6">
        <v>5</v>
      </c>
      <c r="D44" s="6">
        <v>0</v>
      </c>
      <c r="E44" s="5"/>
      <c r="F44" s="6">
        <v>0</v>
      </c>
      <c r="G44" s="5"/>
    </row>
    <row r="45" spans="1:7" x14ac:dyDescent="0.55000000000000004">
      <c r="A45" s="5" t="s">
        <v>26</v>
      </c>
      <c r="B45" s="5" t="s">
        <v>42</v>
      </c>
      <c r="C45" s="6">
        <v>5</v>
      </c>
      <c r="D45" s="6">
        <v>0</v>
      </c>
      <c r="E45" s="5"/>
      <c r="F45" s="6">
        <v>0</v>
      </c>
      <c r="G45" s="5"/>
    </row>
    <row r="46" spans="1:7" x14ac:dyDescent="0.55000000000000004">
      <c r="A46" s="5" t="s">
        <v>14</v>
      </c>
      <c r="B46" s="5" t="s">
        <v>42</v>
      </c>
      <c r="C46" s="6">
        <v>5</v>
      </c>
      <c r="D46" s="6">
        <v>0</v>
      </c>
      <c r="E46" s="5"/>
      <c r="F46" s="6">
        <v>0</v>
      </c>
      <c r="G46" s="5"/>
    </row>
    <row r="47" spans="1:7" x14ac:dyDescent="0.55000000000000004">
      <c r="A47" s="5" t="s">
        <v>17</v>
      </c>
      <c r="B47" s="5" t="s">
        <v>42</v>
      </c>
      <c r="C47" s="6">
        <v>5</v>
      </c>
      <c r="D47" s="6">
        <v>130</v>
      </c>
      <c r="E47" s="5"/>
      <c r="F47" s="6">
        <v>126</v>
      </c>
      <c r="G47" s="5"/>
    </row>
    <row r="48" spans="1:7" x14ac:dyDescent="0.55000000000000004">
      <c r="A48" s="5" t="s">
        <v>21</v>
      </c>
      <c r="B48" s="5" t="s">
        <v>42</v>
      </c>
      <c r="C48" s="6">
        <v>5</v>
      </c>
      <c r="D48" s="6">
        <v>0</v>
      </c>
      <c r="E48" s="5"/>
      <c r="F48" s="6">
        <v>0</v>
      </c>
      <c r="G48" s="5"/>
    </row>
    <row r="49" spans="1:7" x14ac:dyDescent="0.55000000000000004">
      <c r="A49" s="5" t="s">
        <v>25</v>
      </c>
      <c r="B49" s="5" t="s">
        <v>42</v>
      </c>
      <c r="C49" s="6">
        <v>5</v>
      </c>
      <c r="D49" s="6">
        <v>0</v>
      </c>
      <c r="E49" s="5"/>
      <c r="F49" s="6">
        <v>0</v>
      </c>
      <c r="G49" s="5"/>
    </row>
    <row r="50" spans="1:7" x14ac:dyDescent="0.55000000000000004">
      <c r="A50" s="5" t="s">
        <v>13</v>
      </c>
      <c r="B50" s="5" t="s">
        <v>42</v>
      </c>
      <c r="C50" s="6">
        <v>5</v>
      </c>
      <c r="D50" s="6">
        <v>0</v>
      </c>
      <c r="E50" s="5"/>
      <c r="F50" s="6">
        <v>0</v>
      </c>
      <c r="G50" s="5"/>
    </row>
    <row r="51" spans="1:7" x14ac:dyDescent="0.55000000000000004">
      <c r="A51" s="5" t="s">
        <v>16</v>
      </c>
      <c r="B51" s="5" t="s">
        <v>42</v>
      </c>
      <c r="C51" s="6">
        <v>5</v>
      </c>
      <c r="D51" s="6" t="s">
        <v>287</v>
      </c>
      <c r="E51" s="5"/>
      <c r="F51" s="6" t="s">
        <v>287</v>
      </c>
      <c r="G51" s="5"/>
    </row>
    <row r="52" spans="1:7" x14ac:dyDescent="0.55000000000000004">
      <c r="A52" s="5" t="s">
        <v>15</v>
      </c>
      <c r="B52" s="5" t="s">
        <v>120</v>
      </c>
      <c r="C52" s="6">
        <v>1</v>
      </c>
      <c r="D52" s="6" t="s">
        <v>287</v>
      </c>
      <c r="E52" s="5"/>
      <c r="F52" s="6" t="s">
        <v>287</v>
      </c>
      <c r="G52" s="5"/>
    </row>
    <row r="53" spans="1:7" x14ac:dyDescent="0.55000000000000004">
      <c r="A53" s="5" t="s">
        <v>18</v>
      </c>
      <c r="B53" s="5" t="s">
        <v>120</v>
      </c>
      <c r="C53" s="6">
        <v>1</v>
      </c>
      <c r="D53" s="6" t="s">
        <v>287</v>
      </c>
      <c r="E53" s="5"/>
      <c r="F53" s="6" t="s">
        <v>287</v>
      </c>
      <c r="G53" s="5"/>
    </row>
    <row r="54" spans="1:7" x14ac:dyDescent="0.55000000000000004">
      <c r="A54" s="5" t="s">
        <v>22</v>
      </c>
      <c r="B54" s="5" t="s">
        <v>120</v>
      </c>
      <c r="C54" s="6">
        <v>1</v>
      </c>
      <c r="D54" s="6" t="s">
        <v>287</v>
      </c>
      <c r="E54" s="5"/>
      <c r="F54" s="6" t="s">
        <v>287</v>
      </c>
      <c r="G54" s="5"/>
    </row>
    <row r="55" spans="1:7" x14ac:dyDescent="0.55000000000000004">
      <c r="A55" s="5" t="s">
        <v>26</v>
      </c>
      <c r="B55" s="5" t="s">
        <v>120</v>
      </c>
      <c r="C55" s="6">
        <v>1</v>
      </c>
      <c r="D55" s="6" t="s">
        <v>287</v>
      </c>
      <c r="E55" s="5"/>
      <c r="F55" s="6" t="s">
        <v>287</v>
      </c>
      <c r="G55" s="5"/>
    </row>
    <row r="56" spans="1:7" x14ac:dyDescent="0.55000000000000004">
      <c r="A56" s="5" t="s">
        <v>14</v>
      </c>
      <c r="B56" s="5" t="s">
        <v>120</v>
      </c>
      <c r="C56" s="6">
        <v>1</v>
      </c>
      <c r="D56" s="6" t="s">
        <v>287</v>
      </c>
      <c r="E56" s="5"/>
      <c r="F56" s="6" t="s">
        <v>287</v>
      </c>
      <c r="G56" s="5"/>
    </row>
    <row r="57" spans="1:7" x14ac:dyDescent="0.55000000000000004">
      <c r="A57" s="5" t="s">
        <v>17</v>
      </c>
      <c r="B57" s="5" t="s">
        <v>120</v>
      </c>
      <c r="C57" s="6">
        <v>1</v>
      </c>
      <c r="D57" s="6" t="s">
        <v>287</v>
      </c>
      <c r="E57" s="5"/>
      <c r="F57" s="6" t="s">
        <v>287</v>
      </c>
      <c r="G57" s="5"/>
    </row>
    <row r="58" spans="1:7" x14ac:dyDescent="0.55000000000000004">
      <c r="A58" s="5" t="s">
        <v>21</v>
      </c>
      <c r="B58" s="5" t="s">
        <v>120</v>
      </c>
      <c r="C58" s="6">
        <v>1</v>
      </c>
      <c r="D58" s="6" t="s">
        <v>287</v>
      </c>
      <c r="E58" s="5"/>
      <c r="F58" s="6" t="s">
        <v>287</v>
      </c>
      <c r="G58" s="5"/>
    </row>
    <row r="59" spans="1:7" x14ac:dyDescent="0.55000000000000004">
      <c r="A59" s="5" t="s">
        <v>25</v>
      </c>
      <c r="B59" s="5" t="s">
        <v>120</v>
      </c>
      <c r="C59" s="6">
        <v>1</v>
      </c>
      <c r="D59" s="6" t="s">
        <v>287</v>
      </c>
      <c r="E59" s="5"/>
      <c r="F59" s="6" t="s">
        <v>287</v>
      </c>
      <c r="G59" s="5"/>
    </row>
    <row r="60" spans="1:7" x14ac:dyDescent="0.55000000000000004">
      <c r="A60" s="5" t="s">
        <v>13</v>
      </c>
      <c r="B60" s="5" t="s">
        <v>120</v>
      </c>
      <c r="C60" s="6">
        <v>1</v>
      </c>
      <c r="D60" s="6" t="s">
        <v>287</v>
      </c>
      <c r="E60" s="5"/>
      <c r="F60" s="6" t="s">
        <v>287</v>
      </c>
      <c r="G60" s="5"/>
    </row>
    <row r="61" spans="1:7" x14ac:dyDescent="0.55000000000000004">
      <c r="A61" s="5" t="s">
        <v>16</v>
      </c>
      <c r="B61" s="5" t="s">
        <v>120</v>
      </c>
      <c r="C61" s="6">
        <v>1</v>
      </c>
      <c r="D61" s="6" t="s">
        <v>287</v>
      </c>
      <c r="E61" s="5"/>
      <c r="F61" s="6" t="s">
        <v>287</v>
      </c>
      <c r="G61" s="5"/>
    </row>
    <row r="62" spans="1:7" x14ac:dyDescent="0.55000000000000004">
      <c r="A62" s="5" t="s">
        <v>15</v>
      </c>
      <c r="B62" s="5" t="s">
        <v>120</v>
      </c>
      <c r="C62" s="6">
        <v>2</v>
      </c>
      <c r="D62" s="6">
        <v>0</v>
      </c>
      <c r="E62" s="6" t="s">
        <v>288</v>
      </c>
      <c r="F62" s="6">
        <v>0</v>
      </c>
      <c r="G62" s="6" t="s">
        <v>288</v>
      </c>
    </row>
    <row r="63" spans="1:7" x14ac:dyDescent="0.55000000000000004">
      <c r="A63" s="5" t="s">
        <v>18</v>
      </c>
      <c r="B63" s="5" t="s">
        <v>120</v>
      </c>
      <c r="C63" s="6">
        <v>2</v>
      </c>
      <c r="D63" s="6" t="s">
        <v>287</v>
      </c>
      <c r="E63" s="5"/>
      <c r="F63" s="6" t="s">
        <v>287</v>
      </c>
      <c r="G63" s="5"/>
    </row>
    <row r="64" spans="1:7" x14ac:dyDescent="0.55000000000000004">
      <c r="A64" s="5" t="s">
        <v>22</v>
      </c>
      <c r="B64" s="5" t="s">
        <v>120</v>
      </c>
      <c r="C64" s="6">
        <v>2</v>
      </c>
      <c r="D64" s="6" t="s">
        <v>287</v>
      </c>
      <c r="E64" s="5"/>
      <c r="F64" s="6" t="s">
        <v>287</v>
      </c>
      <c r="G64" s="5"/>
    </row>
    <row r="65" spans="1:7" x14ac:dyDescent="0.55000000000000004">
      <c r="A65" s="5" t="s">
        <v>26</v>
      </c>
      <c r="B65" s="5" t="s">
        <v>120</v>
      </c>
      <c r="C65" s="6">
        <v>2</v>
      </c>
      <c r="D65" s="6" t="s">
        <v>287</v>
      </c>
      <c r="E65" s="5"/>
      <c r="F65" s="6" t="s">
        <v>287</v>
      </c>
      <c r="G65" s="5"/>
    </row>
    <row r="66" spans="1:7" x14ac:dyDescent="0.55000000000000004">
      <c r="A66" s="5" t="s">
        <v>14</v>
      </c>
      <c r="B66" s="5" t="s">
        <v>120</v>
      </c>
      <c r="C66" s="6">
        <v>2</v>
      </c>
      <c r="D66" s="6" t="s">
        <v>287</v>
      </c>
      <c r="E66" s="5"/>
      <c r="F66" s="6" t="s">
        <v>287</v>
      </c>
      <c r="G66" s="5"/>
    </row>
    <row r="67" spans="1:7" x14ac:dyDescent="0.55000000000000004">
      <c r="A67" s="5" t="s">
        <v>17</v>
      </c>
      <c r="B67" s="5" t="s">
        <v>120</v>
      </c>
      <c r="C67" s="6">
        <v>2</v>
      </c>
      <c r="D67" s="6" t="s">
        <v>287</v>
      </c>
      <c r="E67" s="5"/>
      <c r="F67" s="6" t="s">
        <v>287</v>
      </c>
      <c r="G67" s="5"/>
    </row>
    <row r="68" spans="1:7" x14ac:dyDescent="0.55000000000000004">
      <c r="A68" s="5" t="s">
        <v>21</v>
      </c>
      <c r="B68" s="5" t="s">
        <v>120</v>
      </c>
      <c r="C68" s="6">
        <v>2</v>
      </c>
      <c r="D68" s="6" t="s">
        <v>287</v>
      </c>
      <c r="E68" s="5"/>
      <c r="F68" s="6" t="s">
        <v>287</v>
      </c>
      <c r="G68" s="5"/>
    </row>
    <row r="69" spans="1:7" x14ac:dyDescent="0.55000000000000004">
      <c r="A69" s="5" t="s">
        <v>25</v>
      </c>
      <c r="B69" s="5" t="s">
        <v>120</v>
      </c>
      <c r="C69" s="6">
        <v>2</v>
      </c>
      <c r="D69" s="6" t="s">
        <v>287</v>
      </c>
      <c r="E69" s="5"/>
      <c r="F69" s="6" t="s">
        <v>287</v>
      </c>
      <c r="G69" s="5"/>
    </row>
    <row r="70" spans="1:7" x14ac:dyDescent="0.55000000000000004">
      <c r="A70" s="5" t="s">
        <v>13</v>
      </c>
      <c r="B70" s="5" t="s">
        <v>120</v>
      </c>
      <c r="C70" s="6">
        <v>2</v>
      </c>
      <c r="D70" s="6" t="s">
        <v>287</v>
      </c>
      <c r="E70" s="5"/>
      <c r="F70" s="6" t="s">
        <v>287</v>
      </c>
      <c r="G70" s="5"/>
    </row>
    <row r="71" spans="1:7" x14ac:dyDescent="0.55000000000000004">
      <c r="A71" s="5" t="s">
        <v>16</v>
      </c>
      <c r="B71" s="5" t="s">
        <v>120</v>
      </c>
      <c r="C71" s="6">
        <v>2</v>
      </c>
      <c r="D71" s="6" t="s">
        <v>287</v>
      </c>
      <c r="E71" s="5"/>
      <c r="F71" s="6" t="s">
        <v>287</v>
      </c>
      <c r="G71" s="5"/>
    </row>
    <row r="72" spans="1:7" x14ac:dyDescent="0.55000000000000004">
      <c r="A72" s="5" t="s">
        <v>15</v>
      </c>
      <c r="B72" s="5" t="s">
        <v>120</v>
      </c>
      <c r="C72" s="6">
        <v>3</v>
      </c>
      <c r="D72" s="6" t="s">
        <v>287</v>
      </c>
      <c r="E72" s="5"/>
      <c r="F72" s="6" t="s">
        <v>287</v>
      </c>
      <c r="G72" s="5"/>
    </row>
    <row r="73" spans="1:7" x14ac:dyDescent="0.55000000000000004">
      <c r="A73" s="5" t="s">
        <v>18</v>
      </c>
      <c r="B73" s="5" t="s">
        <v>120</v>
      </c>
      <c r="C73" s="6">
        <v>3</v>
      </c>
      <c r="D73" s="6" t="s">
        <v>287</v>
      </c>
      <c r="E73" s="5"/>
      <c r="F73" s="6" t="s">
        <v>287</v>
      </c>
      <c r="G73" s="5"/>
    </row>
    <row r="74" spans="1:7" x14ac:dyDescent="0.55000000000000004">
      <c r="A74" s="5" t="s">
        <v>22</v>
      </c>
      <c r="B74" s="5" t="s">
        <v>120</v>
      </c>
      <c r="C74" s="6">
        <v>3</v>
      </c>
      <c r="D74" s="6" t="s">
        <v>287</v>
      </c>
      <c r="E74" s="5"/>
      <c r="F74" s="6" t="s">
        <v>287</v>
      </c>
      <c r="G74" s="5"/>
    </row>
    <row r="75" spans="1:7" x14ac:dyDescent="0.55000000000000004">
      <c r="A75" s="5" t="s">
        <v>26</v>
      </c>
      <c r="B75" s="5" t="s">
        <v>120</v>
      </c>
      <c r="C75" s="6">
        <v>3</v>
      </c>
      <c r="D75" s="6" t="s">
        <v>287</v>
      </c>
      <c r="E75" s="5"/>
      <c r="F75" s="6" t="s">
        <v>287</v>
      </c>
      <c r="G75" s="5"/>
    </row>
    <row r="76" spans="1:7" x14ac:dyDescent="0.55000000000000004">
      <c r="A76" s="5" t="s">
        <v>14</v>
      </c>
      <c r="B76" s="5" t="s">
        <v>120</v>
      </c>
      <c r="C76" s="6">
        <v>3</v>
      </c>
      <c r="D76" s="6" t="s">
        <v>287</v>
      </c>
      <c r="E76" s="5"/>
      <c r="F76" s="6" t="s">
        <v>287</v>
      </c>
      <c r="G76" s="5"/>
    </row>
    <row r="77" spans="1:7" x14ac:dyDescent="0.55000000000000004">
      <c r="A77" s="5" t="s">
        <v>17</v>
      </c>
      <c r="B77" s="5" t="s">
        <v>120</v>
      </c>
      <c r="C77" s="6">
        <v>3</v>
      </c>
      <c r="D77" s="6" t="s">
        <v>287</v>
      </c>
      <c r="E77" s="5"/>
      <c r="F77" s="6" t="s">
        <v>287</v>
      </c>
      <c r="G77" s="5"/>
    </row>
    <row r="78" spans="1:7" x14ac:dyDescent="0.55000000000000004">
      <c r="A78" s="5" t="s">
        <v>21</v>
      </c>
      <c r="B78" s="5" t="s">
        <v>120</v>
      </c>
      <c r="C78" s="6">
        <v>3</v>
      </c>
      <c r="D78" s="6" t="s">
        <v>287</v>
      </c>
      <c r="E78" s="5"/>
      <c r="F78" s="6" t="s">
        <v>287</v>
      </c>
      <c r="G78" s="5"/>
    </row>
    <row r="79" spans="1:7" x14ac:dyDescent="0.55000000000000004">
      <c r="A79" s="5" t="s">
        <v>25</v>
      </c>
      <c r="B79" s="5" t="s">
        <v>120</v>
      </c>
      <c r="C79" s="6">
        <v>3</v>
      </c>
      <c r="D79" s="6" t="s">
        <v>287</v>
      </c>
      <c r="E79" s="5"/>
      <c r="F79" s="6" t="s">
        <v>287</v>
      </c>
      <c r="G79" s="5"/>
    </row>
    <row r="80" spans="1:7" x14ac:dyDescent="0.55000000000000004">
      <c r="A80" s="5" t="s">
        <v>13</v>
      </c>
      <c r="B80" s="5" t="s">
        <v>120</v>
      </c>
      <c r="C80" s="6">
        <v>3</v>
      </c>
      <c r="D80" s="6" t="s">
        <v>287</v>
      </c>
      <c r="E80" s="5"/>
      <c r="F80" s="6" t="s">
        <v>287</v>
      </c>
      <c r="G80" s="5"/>
    </row>
    <row r="81" spans="1:7" x14ac:dyDescent="0.55000000000000004">
      <c r="A81" s="5" t="s">
        <v>16</v>
      </c>
      <c r="B81" s="5" t="s">
        <v>120</v>
      </c>
      <c r="C81" s="6">
        <v>3</v>
      </c>
      <c r="D81" s="6" t="s">
        <v>287</v>
      </c>
      <c r="E81" s="5"/>
      <c r="F81" s="6" t="s">
        <v>287</v>
      </c>
      <c r="G81" s="5"/>
    </row>
    <row r="82" spans="1:7" x14ac:dyDescent="0.55000000000000004">
      <c r="A82" s="5" t="s">
        <v>15</v>
      </c>
      <c r="B82" s="5" t="s">
        <v>120</v>
      </c>
      <c r="C82" s="6">
        <v>4</v>
      </c>
      <c r="D82" s="6" t="s">
        <v>287</v>
      </c>
      <c r="E82" s="5"/>
      <c r="F82" s="6" t="s">
        <v>287</v>
      </c>
      <c r="G82" s="5"/>
    </row>
    <row r="83" spans="1:7" x14ac:dyDescent="0.55000000000000004">
      <c r="A83" s="5" t="s">
        <v>18</v>
      </c>
      <c r="B83" s="5" t="s">
        <v>120</v>
      </c>
      <c r="C83" s="6">
        <v>4</v>
      </c>
      <c r="D83" s="6" t="s">
        <v>287</v>
      </c>
      <c r="E83" s="5"/>
      <c r="F83" s="6" t="s">
        <v>287</v>
      </c>
      <c r="G83" s="5"/>
    </row>
    <row r="84" spans="1:7" x14ac:dyDescent="0.55000000000000004">
      <c r="A84" s="5" t="s">
        <v>22</v>
      </c>
      <c r="B84" s="5" t="s">
        <v>120</v>
      </c>
      <c r="C84" s="6">
        <v>4</v>
      </c>
      <c r="D84" s="6" t="s">
        <v>287</v>
      </c>
      <c r="E84" s="5"/>
      <c r="F84" s="6" t="s">
        <v>287</v>
      </c>
      <c r="G84" s="5"/>
    </row>
    <row r="85" spans="1:7" x14ac:dyDescent="0.55000000000000004">
      <c r="A85" s="5" t="s">
        <v>26</v>
      </c>
      <c r="B85" s="5" t="s">
        <v>120</v>
      </c>
      <c r="C85" s="6">
        <v>4</v>
      </c>
      <c r="D85" s="6" t="s">
        <v>287</v>
      </c>
      <c r="E85" s="5"/>
      <c r="F85" s="6" t="s">
        <v>287</v>
      </c>
      <c r="G85" s="5"/>
    </row>
    <row r="86" spans="1:7" x14ac:dyDescent="0.55000000000000004">
      <c r="A86" s="5" t="s">
        <v>14</v>
      </c>
      <c r="B86" s="5" t="s">
        <v>120</v>
      </c>
      <c r="C86" s="6">
        <v>4</v>
      </c>
      <c r="D86" s="6" t="s">
        <v>287</v>
      </c>
      <c r="E86" s="5"/>
      <c r="F86" s="6" t="s">
        <v>287</v>
      </c>
      <c r="G86" s="5"/>
    </row>
    <row r="87" spans="1:7" x14ac:dyDescent="0.55000000000000004">
      <c r="A87" s="5" t="s">
        <v>17</v>
      </c>
      <c r="B87" s="5" t="s">
        <v>120</v>
      </c>
      <c r="C87" s="6">
        <v>4</v>
      </c>
      <c r="D87" s="6" t="s">
        <v>287</v>
      </c>
      <c r="E87" s="5"/>
      <c r="F87" s="6" t="s">
        <v>287</v>
      </c>
      <c r="G87" s="5"/>
    </row>
    <row r="88" spans="1:7" x14ac:dyDescent="0.55000000000000004">
      <c r="A88" s="5" t="s">
        <v>21</v>
      </c>
      <c r="B88" s="5" t="s">
        <v>120</v>
      </c>
      <c r="C88" s="6">
        <v>4</v>
      </c>
      <c r="D88" s="6" t="s">
        <v>287</v>
      </c>
      <c r="E88" s="5"/>
      <c r="F88" s="6" t="s">
        <v>287</v>
      </c>
      <c r="G88" s="5"/>
    </row>
    <row r="89" spans="1:7" x14ac:dyDescent="0.55000000000000004">
      <c r="A89" s="5" t="s">
        <v>25</v>
      </c>
      <c r="B89" s="5" t="s">
        <v>120</v>
      </c>
      <c r="C89" s="6">
        <v>4</v>
      </c>
      <c r="D89" s="6" t="s">
        <v>287</v>
      </c>
      <c r="E89" s="5"/>
      <c r="F89" s="6" t="s">
        <v>287</v>
      </c>
      <c r="G89" s="5"/>
    </row>
    <row r="90" spans="1:7" x14ac:dyDescent="0.55000000000000004">
      <c r="A90" s="5" t="s">
        <v>13</v>
      </c>
      <c r="B90" s="5" t="s">
        <v>120</v>
      </c>
      <c r="C90" s="6">
        <v>4</v>
      </c>
      <c r="D90" s="6" t="s">
        <v>287</v>
      </c>
      <c r="E90" s="5"/>
      <c r="F90" s="6" t="s">
        <v>287</v>
      </c>
      <c r="G90" s="5"/>
    </row>
    <row r="91" spans="1:7" x14ac:dyDescent="0.55000000000000004">
      <c r="A91" s="5" t="s">
        <v>16</v>
      </c>
      <c r="B91" s="5" t="s">
        <v>120</v>
      </c>
      <c r="C91" s="6">
        <v>4</v>
      </c>
      <c r="D91" s="6" t="s">
        <v>287</v>
      </c>
      <c r="E91" s="5"/>
      <c r="F91" s="6" t="s">
        <v>287</v>
      </c>
      <c r="G91" s="5"/>
    </row>
    <row r="92" spans="1:7" x14ac:dyDescent="0.55000000000000004">
      <c r="A92" s="5" t="s">
        <v>15</v>
      </c>
      <c r="B92" s="5" t="s">
        <v>120</v>
      </c>
      <c r="C92" s="6">
        <v>5</v>
      </c>
      <c r="D92" s="6" t="s">
        <v>287</v>
      </c>
      <c r="E92" s="5"/>
      <c r="F92" s="6" t="s">
        <v>287</v>
      </c>
      <c r="G92" s="5"/>
    </row>
    <row r="93" spans="1:7" x14ac:dyDescent="0.55000000000000004">
      <c r="A93" s="5" t="s">
        <v>18</v>
      </c>
      <c r="B93" s="5" t="s">
        <v>120</v>
      </c>
      <c r="C93" s="6">
        <v>5</v>
      </c>
      <c r="D93" s="6" t="s">
        <v>287</v>
      </c>
      <c r="E93" s="5"/>
      <c r="F93" s="6" t="s">
        <v>287</v>
      </c>
      <c r="G93" s="5"/>
    </row>
    <row r="94" spans="1:7" x14ac:dyDescent="0.55000000000000004">
      <c r="A94" s="5" t="s">
        <v>22</v>
      </c>
      <c r="B94" s="5" t="s">
        <v>120</v>
      </c>
      <c r="C94" s="6">
        <v>5</v>
      </c>
      <c r="D94" s="6" t="s">
        <v>287</v>
      </c>
      <c r="E94" s="5"/>
      <c r="F94" s="6" t="s">
        <v>287</v>
      </c>
      <c r="G94" s="5"/>
    </row>
    <row r="95" spans="1:7" x14ac:dyDescent="0.55000000000000004">
      <c r="A95" s="5" t="s">
        <v>26</v>
      </c>
      <c r="B95" s="5" t="s">
        <v>120</v>
      </c>
      <c r="C95" s="6">
        <v>5</v>
      </c>
      <c r="D95" s="6" t="s">
        <v>287</v>
      </c>
      <c r="E95" s="5"/>
      <c r="F95" s="6" t="s">
        <v>287</v>
      </c>
      <c r="G95" s="5"/>
    </row>
    <row r="96" spans="1:7" x14ac:dyDescent="0.55000000000000004">
      <c r="A96" s="5" t="s">
        <v>14</v>
      </c>
      <c r="B96" s="5" t="s">
        <v>120</v>
      </c>
      <c r="C96" s="6">
        <v>5</v>
      </c>
      <c r="D96" s="6" t="s">
        <v>287</v>
      </c>
      <c r="E96" s="5"/>
      <c r="F96" s="6" t="s">
        <v>287</v>
      </c>
      <c r="G96" s="5"/>
    </row>
    <row r="97" spans="1:7" x14ac:dyDescent="0.55000000000000004">
      <c r="A97" s="5" t="s">
        <v>17</v>
      </c>
      <c r="B97" s="5" t="s">
        <v>120</v>
      </c>
      <c r="C97" s="6">
        <v>5</v>
      </c>
      <c r="D97" s="6" t="s">
        <v>287</v>
      </c>
      <c r="E97" s="5"/>
      <c r="F97" s="6" t="s">
        <v>287</v>
      </c>
      <c r="G97" s="5"/>
    </row>
    <row r="98" spans="1:7" x14ac:dyDescent="0.55000000000000004">
      <c r="A98" s="5" t="s">
        <v>21</v>
      </c>
      <c r="B98" s="5" t="s">
        <v>120</v>
      </c>
      <c r="C98" s="6">
        <v>5</v>
      </c>
      <c r="D98" s="6" t="s">
        <v>287</v>
      </c>
      <c r="E98" s="5"/>
      <c r="F98" s="6" t="s">
        <v>287</v>
      </c>
      <c r="G98" s="5"/>
    </row>
    <row r="99" spans="1:7" x14ac:dyDescent="0.55000000000000004">
      <c r="A99" s="5" t="s">
        <v>25</v>
      </c>
      <c r="B99" s="5" t="s">
        <v>120</v>
      </c>
      <c r="C99" s="6">
        <v>5</v>
      </c>
      <c r="D99" s="6" t="s">
        <v>287</v>
      </c>
      <c r="E99" s="5"/>
      <c r="F99" s="6" t="s">
        <v>287</v>
      </c>
      <c r="G99" s="5"/>
    </row>
    <row r="100" spans="1:7" x14ac:dyDescent="0.55000000000000004">
      <c r="A100" s="5" t="s">
        <v>13</v>
      </c>
      <c r="B100" s="5" t="s">
        <v>120</v>
      </c>
      <c r="C100" s="6">
        <v>5</v>
      </c>
      <c r="D100" s="6" t="s">
        <v>287</v>
      </c>
      <c r="E100" s="5"/>
      <c r="F100" s="6" t="s">
        <v>287</v>
      </c>
      <c r="G100" s="5"/>
    </row>
    <row r="101" spans="1:7" x14ac:dyDescent="0.55000000000000004">
      <c r="A101" s="5" t="s">
        <v>16</v>
      </c>
      <c r="B101" s="5" t="s">
        <v>120</v>
      </c>
      <c r="C101" s="6">
        <v>5</v>
      </c>
      <c r="D101" s="6" t="s">
        <v>287</v>
      </c>
      <c r="E101" s="5"/>
      <c r="F101" s="6" t="s">
        <v>287</v>
      </c>
      <c r="G101" s="5"/>
    </row>
    <row r="102" spans="1:7" ht="25.5" x14ac:dyDescent="0.55000000000000004">
      <c r="A102" s="5" t="s">
        <v>15</v>
      </c>
      <c r="B102" s="5" t="s">
        <v>215</v>
      </c>
      <c r="C102" s="6">
        <v>1</v>
      </c>
      <c r="D102" s="6" t="s">
        <v>287</v>
      </c>
      <c r="E102" s="5"/>
      <c r="F102" s="6" t="s">
        <v>287</v>
      </c>
      <c r="G102" s="5"/>
    </row>
    <row r="103" spans="1:7" ht="25.5" x14ac:dyDescent="0.55000000000000004">
      <c r="A103" s="5" t="s">
        <v>18</v>
      </c>
      <c r="B103" s="5" t="s">
        <v>215</v>
      </c>
      <c r="C103" s="6">
        <v>1</v>
      </c>
      <c r="D103" s="6" t="s">
        <v>287</v>
      </c>
      <c r="E103" s="5"/>
      <c r="F103" s="6" t="s">
        <v>287</v>
      </c>
      <c r="G103" s="5"/>
    </row>
    <row r="104" spans="1:7" ht="25.5" x14ac:dyDescent="0.55000000000000004">
      <c r="A104" s="5" t="s">
        <v>22</v>
      </c>
      <c r="B104" s="5" t="s">
        <v>215</v>
      </c>
      <c r="C104" s="6">
        <v>1</v>
      </c>
      <c r="D104" s="6" t="s">
        <v>287</v>
      </c>
      <c r="E104" s="5"/>
      <c r="F104" s="6" t="s">
        <v>287</v>
      </c>
      <c r="G104" s="5"/>
    </row>
    <row r="105" spans="1:7" ht="25.5" x14ac:dyDescent="0.55000000000000004">
      <c r="A105" s="5" t="s">
        <v>26</v>
      </c>
      <c r="B105" s="5" t="s">
        <v>215</v>
      </c>
      <c r="C105" s="6">
        <v>1</v>
      </c>
      <c r="D105" s="6" t="s">
        <v>287</v>
      </c>
      <c r="E105" s="5"/>
      <c r="F105" s="6" t="s">
        <v>287</v>
      </c>
      <c r="G105" s="5"/>
    </row>
    <row r="106" spans="1:7" ht="25.5" x14ac:dyDescent="0.55000000000000004">
      <c r="A106" s="5" t="s">
        <v>14</v>
      </c>
      <c r="B106" s="5" t="s">
        <v>215</v>
      </c>
      <c r="C106" s="6">
        <v>1</v>
      </c>
      <c r="D106" s="6" t="s">
        <v>287</v>
      </c>
      <c r="E106" s="5"/>
      <c r="F106" s="6" t="s">
        <v>287</v>
      </c>
      <c r="G106" s="5"/>
    </row>
    <row r="107" spans="1:7" ht="25.5" x14ac:dyDescent="0.55000000000000004">
      <c r="A107" s="5" t="s">
        <v>17</v>
      </c>
      <c r="B107" s="5" t="s">
        <v>215</v>
      </c>
      <c r="C107" s="6">
        <v>1</v>
      </c>
      <c r="D107" s="6" t="s">
        <v>287</v>
      </c>
      <c r="E107" s="5"/>
      <c r="F107" s="6" t="s">
        <v>287</v>
      </c>
      <c r="G107" s="5"/>
    </row>
    <row r="108" spans="1:7" ht="25.5" x14ac:dyDescent="0.55000000000000004">
      <c r="A108" s="5" t="s">
        <v>21</v>
      </c>
      <c r="B108" s="5" t="s">
        <v>215</v>
      </c>
      <c r="C108" s="6">
        <v>1</v>
      </c>
      <c r="D108" s="6" t="s">
        <v>287</v>
      </c>
      <c r="E108" s="5"/>
      <c r="F108" s="6" t="s">
        <v>287</v>
      </c>
      <c r="G108" s="5"/>
    </row>
    <row r="109" spans="1:7" ht="25.5" x14ac:dyDescent="0.55000000000000004">
      <c r="A109" s="5" t="s">
        <v>25</v>
      </c>
      <c r="B109" s="5" t="s">
        <v>215</v>
      </c>
      <c r="C109" s="6">
        <v>1</v>
      </c>
      <c r="D109" s="6" t="s">
        <v>287</v>
      </c>
      <c r="E109" s="5"/>
      <c r="F109" s="6" t="s">
        <v>287</v>
      </c>
      <c r="G109" s="5"/>
    </row>
    <row r="110" spans="1:7" ht="25.5" x14ac:dyDescent="0.55000000000000004">
      <c r="A110" s="5" t="s">
        <v>13</v>
      </c>
      <c r="B110" s="5" t="s">
        <v>215</v>
      </c>
      <c r="C110" s="6">
        <v>1</v>
      </c>
      <c r="D110" s="6" t="s">
        <v>287</v>
      </c>
      <c r="E110" s="5"/>
      <c r="F110" s="6" t="s">
        <v>287</v>
      </c>
      <c r="G110" s="5"/>
    </row>
    <row r="111" spans="1:7" ht="25.5" x14ac:dyDescent="0.55000000000000004">
      <c r="A111" s="5" t="s">
        <v>16</v>
      </c>
      <c r="B111" s="5" t="s">
        <v>215</v>
      </c>
      <c r="C111" s="6">
        <v>1</v>
      </c>
      <c r="D111" s="6" t="s">
        <v>287</v>
      </c>
      <c r="E111" s="5"/>
      <c r="F111" s="6" t="s">
        <v>287</v>
      </c>
      <c r="G111" s="5"/>
    </row>
    <row r="112" spans="1:7" ht="25.5" x14ac:dyDescent="0.55000000000000004">
      <c r="A112" s="5" t="s">
        <v>15</v>
      </c>
      <c r="B112" s="5" t="s">
        <v>215</v>
      </c>
      <c r="C112" s="6">
        <v>2</v>
      </c>
      <c r="D112" s="6" t="s">
        <v>287</v>
      </c>
      <c r="E112" s="5"/>
      <c r="F112" s="6" t="s">
        <v>287</v>
      </c>
      <c r="G112" s="5"/>
    </row>
    <row r="113" spans="1:7" ht="25.5" x14ac:dyDescent="0.55000000000000004">
      <c r="A113" s="5" t="s">
        <v>18</v>
      </c>
      <c r="B113" s="5" t="s">
        <v>215</v>
      </c>
      <c r="C113" s="6">
        <v>2</v>
      </c>
      <c r="D113" s="6" t="s">
        <v>287</v>
      </c>
      <c r="E113" s="5"/>
      <c r="F113" s="6" t="s">
        <v>287</v>
      </c>
      <c r="G113" s="5"/>
    </row>
    <row r="114" spans="1:7" ht="25.5" x14ac:dyDescent="0.55000000000000004">
      <c r="A114" s="5" t="s">
        <v>22</v>
      </c>
      <c r="B114" s="5" t="s">
        <v>215</v>
      </c>
      <c r="C114" s="6">
        <v>2</v>
      </c>
      <c r="D114" s="6" t="s">
        <v>287</v>
      </c>
      <c r="E114" s="5"/>
      <c r="F114" s="6" t="s">
        <v>287</v>
      </c>
      <c r="G114" s="5"/>
    </row>
    <row r="115" spans="1:7" ht="25.5" x14ac:dyDescent="0.55000000000000004">
      <c r="A115" s="5" t="s">
        <v>26</v>
      </c>
      <c r="B115" s="5" t="s">
        <v>215</v>
      </c>
      <c r="C115" s="6">
        <v>2</v>
      </c>
      <c r="D115" s="6" t="s">
        <v>287</v>
      </c>
      <c r="E115" s="5"/>
      <c r="F115" s="6" t="s">
        <v>287</v>
      </c>
      <c r="G115" s="5"/>
    </row>
    <row r="116" spans="1:7" ht="25.5" x14ac:dyDescent="0.55000000000000004">
      <c r="A116" s="5" t="s">
        <v>14</v>
      </c>
      <c r="B116" s="5" t="s">
        <v>215</v>
      </c>
      <c r="C116" s="6">
        <v>2</v>
      </c>
      <c r="D116" s="6" t="s">
        <v>287</v>
      </c>
      <c r="E116" s="5"/>
      <c r="F116" s="6" t="s">
        <v>287</v>
      </c>
      <c r="G116" s="5"/>
    </row>
    <row r="117" spans="1:7" ht="25.5" x14ac:dyDescent="0.55000000000000004">
      <c r="A117" s="5" t="s">
        <v>17</v>
      </c>
      <c r="B117" s="5" t="s">
        <v>215</v>
      </c>
      <c r="C117" s="6">
        <v>2</v>
      </c>
      <c r="D117" s="6" t="s">
        <v>287</v>
      </c>
      <c r="E117" s="5"/>
      <c r="F117" s="6" t="s">
        <v>287</v>
      </c>
      <c r="G117" s="5"/>
    </row>
    <row r="118" spans="1:7" ht="25.5" x14ac:dyDescent="0.55000000000000004">
      <c r="A118" s="5" t="s">
        <v>21</v>
      </c>
      <c r="B118" s="5" t="s">
        <v>215</v>
      </c>
      <c r="C118" s="6">
        <v>2</v>
      </c>
      <c r="D118" s="6" t="s">
        <v>287</v>
      </c>
      <c r="E118" s="5"/>
      <c r="F118" s="6" t="s">
        <v>287</v>
      </c>
      <c r="G118" s="5"/>
    </row>
    <row r="119" spans="1:7" ht="25.5" x14ac:dyDescent="0.55000000000000004">
      <c r="A119" s="5" t="s">
        <v>25</v>
      </c>
      <c r="B119" s="5" t="s">
        <v>215</v>
      </c>
      <c r="C119" s="6">
        <v>2</v>
      </c>
      <c r="D119" s="6" t="s">
        <v>287</v>
      </c>
      <c r="E119" s="5"/>
      <c r="F119" s="6" t="s">
        <v>287</v>
      </c>
      <c r="G119" s="5"/>
    </row>
    <row r="120" spans="1:7" ht="25.5" x14ac:dyDescent="0.55000000000000004">
      <c r="A120" s="5" t="s">
        <v>13</v>
      </c>
      <c r="B120" s="5" t="s">
        <v>215</v>
      </c>
      <c r="C120" s="6">
        <v>2</v>
      </c>
      <c r="D120" s="6" t="s">
        <v>287</v>
      </c>
      <c r="E120" s="5"/>
      <c r="F120" s="6" t="s">
        <v>287</v>
      </c>
      <c r="G120" s="5"/>
    </row>
    <row r="121" spans="1:7" ht="25.5" x14ac:dyDescent="0.55000000000000004">
      <c r="A121" s="5" t="s">
        <v>16</v>
      </c>
      <c r="B121" s="5" t="s">
        <v>215</v>
      </c>
      <c r="C121" s="6">
        <v>2</v>
      </c>
      <c r="D121" s="6" t="s">
        <v>287</v>
      </c>
      <c r="E121" s="5"/>
      <c r="F121" s="6" t="s">
        <v>287</v>
      </c>
      <c r="G121" s="5"/>
    </row>
    <row r="122" spans="1:7" ht="25.5" x14ac:dyDescent="0.55000000000000004">
      <c r="A122" s="5" t="s">
        <v>15</v>
      </c>
      <c r="B122" s="5" t="s">
        <v>215</v>
      </c>
      <c r="C122" s="6">
        <v>3</v>
      </c>
      <c r="D122" s="6" t="s">
        <v>287</v>
      </c>
      <c r="E122" s="5"/>
      <c r="F122" s="6" t="s">
        <v>287</v>
      </c>
      <c r="G122" s="5"/>
    </row>
    <row r="123" spans="1:7" ht="25.5" x14ac:dyDescent="0.55000000000000004">
      <c r="A123" s="5" t="s">
        <v>18</v>
      </c>
      <c r="B123" s="5" t="s">
        <v>215</v>
      </c>
      <c r="C123" s="6">
        <v>3</v>
      </c>
      <c r="D123" s="6" t="s">
        <v>287</v>
      </c>
      <c r="E123" s="5"/>
      <c r="F123" s="6" t="s">
        <v>287</v>
      </c>
      <c r="G123" s="5"/>
    </row>
    <row r="124" spans="1:7" ht="25.5" x14ac:dyDescent="0.55000000000000004">
      <c r="A124" s="5" t="s">
        <v>22</v>
      </c>
      <c r="B124" s="5" t="s">
        <v>215</v>
      </c>
      <c r="C124" s="6">
        <v>3</v>
      </c>
      <c r="D124" s="6" t="s">
        <v>287</v>
      </c>
      <c r="E124" s="5"/>
      <c r="F124" s="6" t="s">
        <v>287</v>
      </c>
      <c r="G124" s="5"/>
    </row>
    <row r="125" spans="1:7" ht="25.5" x14ac:dyDescent="0.55000000000000004">
      <c r="A125" s="5" t="s">
        <v>26</v>
      </c>
      <c r="B125" s="5" t="s">
        <v>215</v>
      </c>
      <c r="C125" s="6">
        <v>3</v>
      </c>
      <c r="D125" s="6" t="s">
        <v>287</v>
      </c>
      <c r="E125" s="5"/>
      <c r="F125" s="6" t="s">
        <v>287</v>
      </c>
      <c r="G125" s="5"/>
    </row>
    <row r="126" spans="1:7" ht="25.5" x14ac:dyDescent="0.55000000000000004">
      <c r="A126" s="5" t="s">
        <v>14</v>
      </c>
      <c r="B126" s="5" t="s">
        <v>215</v>
      </c>
      <c r="C126" s="6">
        <v>3</v>
      </c>
      <c r="D126" s="6" t="s">
        <v>287</v>
      </c>
      <c r="E126" s="5"/>
      <c r="F126" s="6" t="s">
        <v>287</v>
      </c>
      <c r="G126" s="5"/>
    </row>
    <row r="127" spans="1:7" ht="25.5" x14ac:dyDescent="0.55000000000000004">
      <c r="A127" s="5" t="s">
        <v>17</v>
      </c>
      <c r="B127" s="5" t="s">
        <v>215</v>
      </c>
      <c r="C127" s="6">
        <v>3</v>
      </c>
      <c r="D127" s="6" t="s">
        <v>287</v>
      </c>
      <c r="E127" s="5"/>
      <c r="F127" s="6" t="s">
        <v>287</v>
      </c>
      <c r="G127" s="5"/>
    </row>
    <row r="128" spans="1:7" ht="25.5" x14ac:dyDescent="0.55000000000000004">
      <c r="A128" s="5" t="s">
        <v>21</v>
      </c>
      <c r="B128" s="5" t="s">
        <v>215</v>
      </c>
      <c r="C128" s="6">
        <v>3</v>
      </c>
      <c r="D128" s="6" t="s">
        <v>287</v>
      </c>
      <c r="E128" s="5"/>
      <c r="F128" s="6" t="s">
        <v>287</v>
      </c>
      <c r="G128" s="5"/>
    </row>
    <row r="129" spans="1:7" ht="25.5" x14ac:dyDescent="0.55000000000000004">
      <c r="A129" s="5" t="s">
        <v>25</v>
      </c>
      <c r="B129" s="5" t="s">
        <v>215</v>
      </c>
      <c r="C129" s="6">
        <v>3</v>
      </c>
      <c r="D129" s="6" t="s">
        <v>287</v>
      </c>
      <c r="E129" s="5"/>
      <c r="F129" s="6" t="s">
        <v>287</v>
      </c>
      <c r="G129" s="5"/>
    </row>
    <row r="130" spans="1:7" ht="25.5" x14ac:dyDescent="0.55000000000000004">
      <c r="A130" s="5" t="s">
        <v>13</v>
      </c>
      <c r="B130" s="5" t="s">
        <v>215</v>
      </c>
      <c r="C130" s="6">
        <v>3</v>
      </c>
      <c r="D130" s="6" t="s">
        <v>287</v>
      </c>
      <c r="E130" s="5"/>
      <c r="F130" s="6" t="s">
        <v>287</v>
      </c>
      <c r="G130" s="5"/>
    </row>
    <row r="131" spans="1:7" ht="25.5" x14ac:dyDescent="0.55000000000000004">
      <c r="A131" s="5" t="s">
        <v>16</v>
      </c>
      <c r="B131" s="5" t="s">
        <v>215</v>
      </c>
      <c r="C131" s="6">
        <v>3</v>
      </c>
      <c r="D131" s="6" t="s">
        <v>287</v>
      </c>
      <c r="E131" s="5"/>
      <c r="F131" s="6" t="s">
        <v>287</v>
      </c>
      <c r="G131" s="5"/>
    </row>
    <row r="132" spans="1:7" ht="25.5" x14ac:dyDescent="0.55000000000000004">
      <c r="A132" s="5" t="s">
        <v>15</v>
      </c>
      <c r="B132" s="5" t="s">
        <v>215</v>
      </c>
      <c r="C132" s="6">
        <v>4</v>
      </c>
      <c r="D132" s="6" t="s">
        <v>287</v>
      </c>
      <c r="E132" s="5"/>
      <c r="F132" s="6" t="s">
        <v>287</v>
      </c>
      <c r="G132" s="5"/>
    </row>
    <row r="133" spans="1:7" ht="25.5" x14ac:dyDescent="0.55000000000000004">
      <c r="A133" s="5" t="s">
        <v>18</v>
      </c>
      <c r="B133" s="5" t="s">
        <v>215</v>
      </c>
      <c r="C133" s="6">
        <v>4</v>
      </c>
      <c r="D133" s="6" t="s">
        <v>287</v>
      </c>
      <c r="E133" s="5"/>
      <c r="F133" s="6" t="s">
        <v>287</v>
      </c>
      <c r="G133" s="5"/>
    </row>
    <row r="134" spans="1:7" ht="25.5" x14ac:dyDescent="0.55000000000000004">
      <c r="A134" s="5" t="s">
        <v>22</v>
      </c>
      <c r="B134" s="5" t="s">
        <v>215</v>
      </c>
      <c r="C134" s="6">
        <v>4</v>
      </c>
      <c r="D134" s="6" t="s">
        <v>287</v>
      </c>
      <c r="E134" s="5"/>
      <c r="F134" s="6" t="s">
        <v>287</v>
      </c>
      <c r="G134" s="5"/>
    </row>
    <row r="135" spans="1:7" ht="25.5" x14ac:dyDescent="0.55000000000000004">
      <c r="A135" s="5" t="s">
        <v>26</v>
      </c>
      <c r="B135" s="5" t="s">
        <v>215</v>
      </c>
      <c r="C135" s="6">
        <v>4</v>
      </c>
      <c r="D135" s="6" t="s">
        <v>287</v>
      </c>
      <c r="E135" s="5"/>
      <c r="F135" s="6" t="s">
        <v>287</v>
      </c>
      <c r="G135" s="5"/>
    </row>
    <row r="136" spans="1:7" ht="25.5" x14ac:dyDescent="0.55000000000000004">
      <c r="A136" s="5" t="s">
        <v>14</v>
      </c>
      <c r="B136" s="5" t="s">
        <v>215</v>
      </c>
      <c r="C136" s="6">
        <v>4</v>
      </c>
      <c r="D136" s="6" t="s">
        <v>287</v>
      </c>
      <c r="E136" s="5"/>
      <c r="F136" s="6" t="s">
        <v>287</v>
      </c>
      <c r="G136" s="5"/>
    </row>
    <row r="137" spans="1:7" ht="25.5" x14ac:dyDescent="0.55000000000000004">
      <c r="A137" s="5" t="s">
        <v>17</v>
      </c>
      <c r="B137" s="5" t="s">
        <v>215</v>
      </c>
      <c r="C137" s="6">
        <v>4</v>
      </c>
      <c r="D137" s="6" t="s">
        <v>287</v>
      </c>
      <c r="E137" s="5"/>
      <c r="F137" s="6" t="s">
        <v>287</v>
      </c>
      <c r="G137" s="5"/>
    </row>
    <row r="138" spans="1:7" ht="25.5" x14ac:dyDescent="0.55000000000000004">
      <c r="A138" s="5" t="s">
        <v>21</v>
      </c>
      <c r="B138" s="5" t="s">
        <v>215</v>
      </c>
      <c r="C138" s="6">
        <v>4</v>
      </c>
      <c r="D138" s="6" t="s">
        <v>287</v>
      </c>
      <c r="E138" s="5"/>
      <c r="F138" s="6" t="s">
        <v>287</v>
      </c>
      <c r="G138" s="5"/>
    </row>
    <row r="139" spans="1:7" ht="25.5" x14ac:dyDescent="0.55000000000000004">
      <c r="A139" s="5" t="s">
        <v>25</v>
      </c>
      <c r="B139" s="5" t="s">
        <v>215</v>
      </c>
      <c r="C139" s="6">
        <v>4</v>
      </c>
      <c r="D139" s="6" t="s">
        <v>287</v>
      </c>
      <c r="E139" s="5"/>
      <c r="F139" s="6" t="s">
        <v>287</v>
      </c>
      <c r="G139" s="5"/>
    </row>
    <row r="140" spans="1:7" ht="25.5" x14ac:dyDescent="0.55000000000000004">
      <c r="A140" s="5" t="s">
        <v>13</v>
      </c>
      <c r="B140" s="5" t="s">
        <v>215</v>
      </c>
      <c r="C140" s="6">
        <v>4</v>
      </c>
      <c r="D140" s="6" t="s">
        <v>287</v>
      </c>
      <c r="E140" s="5"/>
      <c r="F140" s="6" t="s">
        <v>287</v>
      </c>
      <c r="G140" s="5"/>
    </row>
    <row r="141" spans="1:7" ht="25.5" x14ac:dyDescent="0.55000000000000004">
      <c r="A141" s="5" t="s">
        <v>16</v>
      </c>
      <c r="B141" s="5" t="s">
        <v>215</v>
      </c>
      <c r="C141" s="6">
        <v>4</v>
      </c>
      <c r="D141" s="6" t="s">
        <v>287</v>
      </c>
      <c r="E141" s="5"/>
      <c r="F141" s="6" t="s">
        <v>287</v>
      </c>
      <c r="G141" s="5"/>
    </row>
    <row r="142" spans="1:7" ht="25.5" x14ac:dyDescent="0.55000000000000004">
      <c r="A142" s="5" t="s">
        <v>15</v>
      </c>
      <c r="B142" s="5" t="s">
        <v>215</v>
      </c>
      <c r="C142" s="6">
        <v>5</v>
      </c>
      <c r="D142" s="6" t="s">
        <v>287</v>
      </c>
      <c r="E142" s="5"/>
      <c r="F142" s="6" t="s">
        <v>287</v>
      </c>
      <c r="G142" s="5"/>
    </row>
    <row r="143" spans="1:7" ht="25.5" x14ac:dyDescent="0.55000000000000004">
      <c r="A143" s="5" t="s">
        <v>18</v>
      </c>
      <c r="B143" s="5" t="s">
        <v>215</v>
      </c>
      <c r="C143" s="6">
        <v>5</v>
      </c>
      <c r="D143" s="6" t="s">
        <v>287</v>
      </c>
      <c r="E143" s="5"/>
      <c r="F143" s="6" t="s">
        <v>287</v>
      </c>
      <c r="G143" s="5"/>
    </row>
    <row r="144" spans="1:7" ht="25.5" x14ac:dyDescent="0.55000000000000004">
      <c r="A144" s="5" t="s">
        <v>22</v>
      </c>
      <c r="B144" s="5" t="s">
        <v>215</v>
      </c>
      <c r="C144" s="6">
        <v>5</v>
      </c>
      <c r="D144" s="6" t="s">
        <v>287</v>
      </c>
      <c r="E144" s="5"/>
      <c r="F144" s="6" t="s">
        <v>287</v>
      </c>
      <c r="G144" s="5"/>
    </row>
    <row r="145" spans="1:7" ht="25.5" x14ac:dyDescent="0.55000000000000004">
      <c r="A145" s="5" t="s">
        <v>26</v>
      </c>
      <c r="B145" s="5" t="s">
        <v>215</v>
      </c>
      <c r="C145" s="6">
        <v>5</v>
      </c>
      <c r="D145" s="6" t="s">
        <v>287</v>
      </c>
      <c r="E145" s="5"/>
      <c r="F145" s="6" t="s">
        <v>287</v>
      </c>
      <c r="G145" s="5"/>
    </row>
    <row r="146" spans="1:7" ht="25.5" x14ac:dyDescent="0.55000000000000004">
      <c r="A146" s="5" t="s">
        <v>14</v>
      </c>
      <c r="B146" s="5" t="s">
        <v>215</v>
      </c>
      <c r="C146" s="6">
        <v>5</v>
      </c>
      <c r="D146" s="6" t="s">
        <v>287</v>
      </c>
      <c r="E146" s="5"/>
      <c r="F146" s="6" t="s">
        <v>287</v>
      </c>
      <c r="G146" s="5"/>
    </row>
    <row r="147" spans="1:7" ht="25.5" x14ac:dyDescent="0.55000000000000004">
      <c r="A147" s="5" t="s">
        <v>17</v>
      </c>
      <c r="B147" s="5" t="s">
        <v>215</v>
      </c>
      <c r="C147" s="6">
        <v>5</v>
      </c>
      <c r="D147" s="6" t="s">
        <v>287</v>
      </c>
      <c r="E147" s="5"/>
      <c r="F147" s="6" t="s">
        <v>287</v>
      </c>
      <c r="G147" s="5"/>
    </row>
    <row r="148" spans="1:7" ht="25.5" x14ac:dyDescent="0.55000000000000004">
      <c r="A148" s="5" t="s">
        <v>21</v>
      </c>
      <c r="B148" s="5" t="s">
        <v>215</v>
      </c>
      <c r="C148" s="6">
        <v>5</v>
      </c>
      <c r="D148" s="6" t="s">
        <v>287</v>
      </c>
      <c r="E148" s="5"/>
      <c r="F148" s="6" t="s">
        <v>287</v>
      </c>
      <c r="G148" s="5"/>
    </row>
    <row r="149" spans="1:7" ht="25.5" x14ac:dyDescent="0.55000000000000004">
      <c r="A149" s="5" t="s">
        <v>25</v>
      </c>
      <c r="B149" s="5" t="s">
        <v>215</v>
      </c>
      <c r="C149" s="6">
        <v>5</v>
      </c>
      <c r="D149" s="6" t="s">
        <v>287</v>
      </c>
      <c r="E149" s="5"/>
      <c r="F149" s="6" t="s">
        <v>287</v>
      </c>
      <c r="G149" s="5"/>
    </row>
    <row r="150" spans="1:7" ht="25.5" x14ac:dyDescent="0.55000000000000004">
      <c r="A150" s="5" t="s">
        <v>13</v>
      </c>
      <c r="B150" s="5" t="s">
        <v>215</v>
      </c>
      <c r="C150" s="6">
        <v>5</v>
      </c>
      <c r="D150" s="6" t="s">
        <v>287</v>
      </c>
      <c r="E150" s="5"/>
      <c r="F150" s="6" t="s">
        <v>287</v>
      </c>
      <c r="G150" s="5"/>
    </row>
    <row r="151" spans="1:7" ht="25.5" x14ac:dyDescent="0.55000000000000004">
      <c r="A151" s="5" t="s">
        <v>16</v>
      </c>
      <c r="B151" s="5" t="s">
        <v>215</v>
      </c>
      <c r="C151" s="6">
        <v>5</v>
      </c>
      <c r="D151" s="6" t="s">
        <v>287</v>
      </c>
      <c r="E151" s="5"/>
      <c r="F151" s="6" t="s">
        <v>287</v>
      </c>
      <c r="G151" s="5"/>
    </row>
    <row r="152" spans="1:7" x14ac:dyDescent="0.55000000000000004">
      <c r="A152" s="5" t="s">
        <v>15</v>
      </c>
      <c r="B152" s="5" t="s">
        <v>85</v>
      </c>
      <c r="C152" s="6">
        <v>1</v>
      </c>
      <c r="D152" s="6">
        <v>0</v>
      </c>
      <c r="E152" s="5"/>
      <c r="F152" s="6">
        <v>0</v>
      </c>
      <c r="G152" s="5"/>
    </row>
    <row r="153" spans="1:7" x14ac:dyDescent="0.55000000000000004">
      <c r="A153" s="5" t="s">
        <v>18</v>
      </c>
      <c r="B153" s="5" t="s">
        <v>85</v>
      </c>
      <c r="C153" s="6">
        <v>1</v>
      </c>
      <c r="D153" s="6">
        <v>68</v>
      </c>
      <c r="E153" s="5"/>
      <c r="F153" s="6">
        <v>58</v>
      </c>
      <c r="G153" s="5"/>
    </row>
    <row r="154" spans="1:7" x14ac:dyDescent="0.55000000000000004">
      <c r="A154" s="5" t="s">
        <v>22</v>
      </c>
      <c r="B154" s="5" t="s">
        <v>85</v>
      </c>
      <c r="C154" s="6">
        <v>1</v>
      </c>
      <c r="D154" s="6">
        <v>0</v>
      </c>
      <c r="E154" s="5"/>
      <c r="F154" s="6">
        <v>0</v>
      </c>
      <c r="G154" s="5"/>
    </row>
    <row r="155" spans="1:7" x14ac:dyDescent="0.55000000000000004">
      <c r="A155" s="5" t="s">
        <v>26</v>
      </c>
      <c r="B155" s="5" t="s">
        <v>85</v>
      </c>
      <c r="C155" s="6">
        <v>1</v>
      </c>
      <c r="D155" s="6">
        <v>0</v>
      </c>
      <c r="E155" s="5"/>
      <c r="F155" s="6">
        <v>0</v>
      </c>
      <c r="G155" s="5"/>
    </row>
    <row r="156" spans="1:7" x14ac:dyDescent="0.55000000000000004">
      <c r="A156" s="5" t="s">
        <v>14</v>
      </c>
      <c r="B156" s="5" t="s">
        <v>85</v>
      </c>
      <c r="C156" s="6">
        <v>1</v>
      </c>
      <c r="D156" s="6" t="s">
        <v>287</v>
      </c>
      <c r="E156" s="5"/>
      <c r="F156" s="6" t="s">
        <v>287</v>
      </c>
      <c r="G156" s="5"/>
    </row>
    <row r="157" spans="1:7" x14ac:dyDescent="0.55000000000000004">
      <c r="A157" s="5" t="s">
        <v>17</v>
      </c>
      <c r="B157" s="5" t="s">
        <v>85</v>
      </c>
      <c r="C157" s="6">
        <v>1</v>
      </c>
      <c r="D157" s="6" t="s">
        <v>287</v>
      </c>
      <c r="E157" s="5"/>
      <c r="F157" s="6" t="s">
        <v>287</v>
      </c>
      <c r="G157" s="5"/>
    </row>
    <row r="158" spans="1:7" x14ac:dyDescent="0.55000000000000004">
      <c r="A158" s="5" t="s">
        <v>21</v>
      </c>
      <c r="B158" s="5" t="s">
        <v>85</v>
      </c>
      <c r="C158" s="6">
        <v>1</v>
      </c>
      <c r="D158" s="6" t="s">
        <v>287</v>
      </c>
      <c r="E158" s="5"/>
      <c r="F158" s="6" t="s">
        <v>287</v>
      </c>
      <c r="G158" s="5"/>
    </row>
    <row r="159" spans="1:7" x14ac:dyDescent="0.55000000000000004">
      <c r="A159" s="5" t="s">
        <v>25</v>
      </c>
      <c r="B159" s="5" t="s">
        <v>85</v>
      </c>
      <c r="C159" s="6">
        <v>1</v>
      </c>
      <c r="D159" s="6" t="s">
        <v>287</v>
      </c>
      <c r="E159" s="5"/>
      <c r="F159" s="6" t="s">
        <v>287</v>
      </c>
      <c r="G159" s="5"/>
    </row>
    <row r="160" spans="1:7" x14ac:dyDescent="0.55000000000000004">
      <c r="A160" s="5" t="s">
        <v>13</v>
      </c>
      <c r="B160" s="5" t="s">
        <v>85</v>
      </c>
      <c r="C160" s="6">
        <v>1</v>
      </c>
      <c r="D160" s="6" t="s">
        <v>287</v>
      </c>
      <c r="E160" s="5"/>
      <c r="F160" s="6" t="s">
        <v>287</v>
      </c>
      <c r="G160" s="5"/>
    </row>
    <row r="161" spans="1:7" x14ac:dyDescent="0.55000000000000004">
      <c r="A161" s="5" t="s">
        <v>16</v>
      </c>
      <c r="B161" s="5" t="s">
        <v>85</v>
      </c>
      <c r="C161" s="6">
        <v>1</v>
      </c>
      <c r="D161" s="6" t="s">
        <v>287</v>
      </c>
      <c r="E161" s="5"/>
      <c r="F161" s="6" t="s">
        <v>287</v>
      </c>
      <c r="G161" s="5"/>
    </row>
    <row r="162" spans="1:7" x14ac:dyDescent="0.55000000000000004">
      <c r="A162" s="5" t="s">
        <v>15</v>
      </c>
      <c r="B162" s="5" t="s">
        <v>85</v>
      </c>
      <c r="C162" s="6">
        <v>2</v>
      </c>
      <c r="D162" s="6">
        <v>2</v>
      </c>
      <c r="E162" s="5"/>
      <c r="F162" s="6">
        <v>0</v>
      </c>
      <c r="G162" s="5"/>
    </row>
    <row r="163" spans="1:7" x14ac:dyDescent="0.55000000000000004">
      <c r="A163" s="5" t="s">
        <v>18</v>
      </c>
      <c r="B163" s="5" t="s">
        <v>85</v>
      </c>
      <c r="C163" s="6">
        <v>2</v>
      </c>
      <c r="D163" s="6">
        <v>0</v>
      </c>
      <c r="E163" s="5"/>
      <c r="F163" s="6">
        <v>0</v>
      </c>
      <c r="G163" s="5"/>
    </row>
    <row r="164" spans="1:7" x14ac:dyDescent="0.55000000000000004">
      <c r="A164" s="5" t="s">
        <v>22</v>
      </c>
      <c r="B164" s="5" t="s">
        <v>85</v>
      </c>
      <c r="C164" s="6">
        <v>2</v>
      </c>
      <c r="D164" s="6">
        <v>41</v>
      </c>
      <c r="E164" s="5"/>
      <c r="F164" s="6">
        <v>5</v>
      </c>
      <c r="G164" s="5"/>
    </row>
    <row r="165" spans="1:7" x14ac:dyDescent="0.55000000000000004">
      <c r="A165" s="5" t="s">
        <v>26</v>
      </c>
      <c r="B165" s="5" t="s">
        <v>85</v>
      </c>
      <c r="C165" s="6">
        <v>2</v>
      </c>
      <c r="D165" s="6">
        <v>55</v>
      </c>
      <c r="E165" s="5"/>
      <c r="F165" s="6">
        <v>49</v>
      </c>
      <c r="G165" s="5"/>
    </row>
    <row r="166" spans="1:7" x14ac:dyDescent="0.55000000000000004">
      <c r="A166" s="5" t="s">
        <v>14</v>
      </c>
      <c r="B166" s="5" t="s">
        <v>85</v>
      </c>
      <c r="C166" s="6">
        <v>2</v>
      </c>
      <c r="D166" s="6">
        <v>114</v>
      </c>
      <c r="E166" s="5"/>
      <c r="F166" s="6">
        <v>36</v>
      </c>
      <c r="G166" s="5"/>
    </row>
    <row r="167" spans="1:7" x14ac:dyDescent="0.55000000000000004">
      <c r="A167" s="5" t="s">
        <v>17</v>
      </c>
      <c r="B167" s="5" t="s">
        <v>85</v>
      </c>
      <c r="C167" s="6">
        <v>2</v>
      </c>
      <c r="D167" s="6">
        <v>0</v>
      </c>
      <c r="E167" s="5"/>
      <c r="F167" s="6">
        <v>0</v>
      </c>
      <c r="G167" s="5"/>
    </row>
    <row r="168" spans="1:7" x14ac:dyDescent="0.55000000000000004">
      <c r="A168" s="5" t="s">
        <v>21</v>
      </c>
      <c r="B168" s="5" t="s">
        <v>85</v>
      </c>
      <c r="C168" s="6">
        <v>2</v>
      </c>
      <c r="D168" s="6">
        <v>0</v>
      </c>
      <c r="E168" s="5"/>
      <c r="F168" s="6">
        <v>0</v>
      </c>
      <c r="G168" s="5"/>
    </row>
    <row r="169" spans="1:7" x14ac:dyDescent="0.55000000000000004">
      <c r="A169" s="5" t="s">
        <v>25</v>
      </c>
      <c r="B169" s="5" t="s">
        <v>85</v>
      </c>
      <c r="C169" s="6">
        <v>2</v>
      </c>
      <c r="D169" s="6">
        <v>151</v>
      </c>
      <c r="E169" s="5"/>
      <c r="F169" s="6">
        <v>106</v>
      </c>
      <c r="G169" s="5"/>
    </row>
    <row r="170" spans="1:7" x14ac:dyDescent="0.55000000000000004">
      <c r="A170" s="5" t="s">
        <v>13</v>
      </c>
      <c r="B170" s="5" t="s">
        <v>85</v>
      </c>
      <c r="C170" s="6">
        <v>2</v>
      </c>
      <c r="D170" s="6">
        <v>0</v>
      </c>
      <c r="E170" s="5"/>
      <c r="F170" s="6">
        <v>0</v>
      </c>
      <c r="G170" s="5"/>
    </row>
    <row r="171" spans="1:7" x14ac:dyDescent="0.55000000000000004">
      <c r="A171" s="5" t="s">
        <v>16</v>
      </c>
      <c r="B171" s="5" t="s">
        <v>85</v>
      </c>
      <c r="C171" s="6">
        <v>2</v>
      </c>
      <c r="D171" s="6" t="s">
        <v>287</v>
      </c>
      <c r="E171" s="5"/>
      <c r="F171" s="6" t="s">
        <v>287</v>
      </c>
      <c r="G171" s="5"/>
    </row>
    <row r="172" spans="1:7" x14ac:dyDescent="0.55000000000000004">
      <c r="A172" s="5" t="s">
        <v>15</v>
      </c>
      <c r="B172" s="5" t="s">
        <v>85</v>
      </c>
      <c r="C172" s="6">
        <v>3</v>
      </c>
      <c r="D172" s="6">
        <v>0</v>
      </c>
      <c r="E172" s="5"/>
      <c r="F172" s="6">
        <v>0</v>
      </c>
      <c r="G172" s="5"/>
    </row>
    <row r="173" spans="1:7" x14ac:dyDescent="0.55000000000000004">
      <c r="A173" s="5" t="s">
        <v>18</v>
      </c>
      <c r="B173" s="5" t="s">
        <v>85</v>
      </c>
      <c r="C173" s="6">
        <v>3</v>
      </c>
      <c r="D173" s="6">
        <v>0</v>
      </c>
      <c r="E173" s="5"/>
      <c r="F173" s="6">
        <v>0</v>
      </c>
      <c r="G173" s="5"/>
    </row>
    <row r="174" spans="1:7" x14ac:dyDescent="0.55000000000000004">
      <c r="A174" s="5" t="s">
        <v>22</v>
      </c>
      <c r="B174" s="5" t="s">
        <v>85</v>
      </c>
      <c r="C174" s="6">
        <v>3</v>
      </c>
      <c r="D174" s="6">
        <v>0</v>
      </c>
      <c r="E174" s="5"/>
      <c r="F174" s="6">
        <v>0</v>
      </c>
      <c r="G174" s="5"/>
    </row>
    <row r="175" spans="1:7" x14ac:dyDescent="0.55000000000000004">
      <c r="A175" s="5" t="s">
        <v>26</v>
      </c>
      <c r="B175" s="5" t="s">
        <v>85</v>
      </c>
      <c r="C175" s="6">
        <v>3</v>
      </c>
      <c r="D175" s="6">
        <v>0</v>
      </c>
      <c r="E175" s="5"/>
      <c r="F175" s="6">
        <v>0</v>
      </c>
      <c r="G175" s="5"/>
    </row>
    <row r="176" spans="1:7" x14ac:dyDescent="0.55000000000000004">
      <c r="A176" s="5" t="s">
        <v>14</v>
      </c>
      <c r="B176" s="5" t="s">
        <v>85</v>
      </c>
      <c r="C176" s="6">
        <v>3</v>
      </c>
      <c r="D176" s="6" t="s">
        <v>287</v>
      </c>
      <c r="E176" s="5"/>
      <c r="F176" s="6" t="s">
        <v>287</v>
      </c>
      <c r="G176" s="5"/>
    </row>
    <row r="177" spans="1:7" x14ac:dyDescent="0.55000000000000004">
      <c r="A177" s="5" t="s">
        <v>17</v>
      </c>
      <c r="B177" s="5" t="s">
        <v>85</v>
      </c>
      <c r="C177" s="6">
        <v>3</v>
      </c>
      <c r="D177" s="6" t="s">
        <v>287</v>
      </c>
      <c r="E177" s="5"/>
      <c r="F177" s="6" t="s">
        <v>287</v>
      </c>
      <c r="G177" s="5"/>
    </row>
    <row r="178" spans="1:7" x14ac:dyDescent="0.55000000000000004">
      <c r="A178" s="5" t="s">
        <v>21</v>
      </c>
      <c r="B178" s="5" t="s">
        <v>85</v>
      </c>
      <c r="C178" s="6">
        <v>3</v>
      </c>
      <c r="D178" s="6" t="s">
        <v>287</v>
      </c>
      <c r="E178" s="5"/>
      <c r="F178" s="6" t="s">
        <v>287</v>
      </c>
      <c r="G178" s="5"/>
    </row>
    <row r="179" spans="1:7" x14ac:dyDescent="0.55000000000000004">
      <c r="A179" s="5" t="s">
        <v>25</v>
      </c>
      <c r="B179" s="5" t="s">
        <v>85</v>
      </c>
      <c r="C179" s="6">
        <v>3</v>
      </c>
      <c r="D179" s="6" t="s">
        <v>287</v>
      </c>
      <c r="E179" s="5"/>
      <c r="F179" s="6" t="s">
        <v>287</v>
      </c>
      <c r="G179" s="5"/>
    </row>
    <row r="180" spans="1:7" x14ac:dyDescent="0.55000000000000004">
      <c r="A180" s="5" t="s">
        <v>13</v>
      </c>
      <c r="B180" s="5" t="s">
        <v>85</v>
      </c>
      <c r="C180" s="6">
        <v>3</v>
      </c>
      <c r="D180" s="6" t="s">
        <v>287</v>
      </c>
      <c r="E180" s="5"/>
      <c r="F180" s="6" t="s">
        <v>287</v>
      </c>
      <c r="G180" s="5"/>
    </row>
    <row r="181" spans="1:7" x14ac:dyDescent="0.55000000000000004">
      <c r="A181" s="5" t="s">
        <v>16</v>
      </c>
      <c r="B181" s="5" t="s">
        <v>85</v>
      </c>
      <c r="C181" s="6">
        <v>3</v>
      </c>
      <c r="D181" s="6" t="s">
        <v>287</v>
      </c>
      <c r="E181" s="5"/>
      <c r="F181" s="6" t="s">
        <v>287</v>
      </c>
      <c r="G181" s="5"/>
    </row>
    <row r="182" spans="1:7" x14ac:dyDescent="0.55000000000000004">
      <c r="A182" s="5" t="s">
        <v>15</v>
      </c>
      <c r="B182" s="5" t="s">
        <v>85</v>
      </c>
      <c r="C182" s="6">
        <v>4</v>
      </c>
      <c r="D182" s="6">
        <v>0</v>
      </c>
      <c r="E182" s="5"/>
      <c r="F182" s="6">
        <v>0</v>
      </c>
      <c r="G182" s="5"/>
    </row>
    <row r="183" spans="1:7" x14ac:dyDescent="0.55000000000000004">
      <c r="A183" s="5" t="s">
        <v>18</v>
      </c>
      <c r="B183" s="5" t="s">
        <v>85</v>
      </c>
      <c r="C183" s="6">
        <v>4</v>
      </c>
      <c r="D183" s="6">
        <v>0</v>
      </c>
      <c r="E183" s="5"/>
      <c r="F183" s="6">
        <v>0</v>
      </c>
      <c r="G183" s="5"/>
    </row>
    <row r="184" spans="1:7" x14ac:dyDescent="0.55000000000000004">
      <c r="A184" s="5" t="s">
        <v>22</v>
      </c>
      <c r="B184" s="5" t="s">
        <v>85</v>
      </c>
      <c r="C184" s="6">
        <v>4</v>
      </c>
      <c r="D184" s="6">
        <v>101</v>
      </c>
      <c r="E184" s="5"/>
      <c r="F184" s="6">
        <v>91</v>
      </c>
      <c r="G184" s="5"/>
    </row>
    <row r="185" spans="1:7" x14ac:dyDescent="0.55000000000000004">
      <c r="A185" s="5" t="s">
        <v>26</v>
      </c>
      <c r="B185" s="5" t="s">
        <v>85</v>
      </c>
      <c r="C185" s="6">
        <v>4</v>
      </c>
      <c r="D185" s="6">
        <v>63</v>
      </c>
      <c r="E185" s="5"/>
      <c r="F185" s="6">
        <v>55</v>
      </c>
      <c r="G185" s="5"/>
    </row>
    <row r="186" spans="1:7" x14ac:dyDescent="0.55000000000000004">
      <c r="A186" s="5" t="s">
        <v>14</v>
      </c>
      <c r="B186" s="5" t="s">
        <v>85</v>
      </c>
      <c r="C186" s="6">
        <v>4</v>
      </c>
      <c r="D186" s="6" t="s">
        <v>287</v>
      </c>
      <c r="E186" s="5"/>
      <c r="F186" s="6" t="s">
        <v>287</v>
      </c>
      <c r="G186" s="5"/>
    </row>
    <row r="187" spans="1:7" x14ac:dyDescent="0.55000000000000004">
      <c r="A187" s="5" t="s">
        <v>17</v>
      </c>
      <c r="B187" s="5" t="s">
        <v>85</v>
      </c>
      <c r="C187" s="6">
        <v>4</v>
      </c>
      <c r="D187" s="6" t="s">
        <v>287</v>
      </c>
      <c r="E187" s="5"/>
      <c r="F187" s="6" t="s">
        <v>287</v>
      </c>
      <c r="G187" s="5"/>
    </row>
    <row r="188" spans="1:7" x14ac:dyDescent="0.55000000000000004">
      <c r="A188" s="5" t="s">
        <v>21</v>
      </c>
      <c r="B188" s="5" t="s">
        <v>85</v>
      </c>
      <c r="C188" s="6">
        <v>4</v>
      </c>
      <c r="D188" s="6" t="s">
        <v>287</v>
      </c>
      <c r="E188" s="5"/>
      <c r="F188" s="6" t="s">
        <v>287</v>
      </c>
      <c r="G188" s="5"/>
    </row>
    <row r="189" spans="1:7" x14ac:dyDescent="0.55000000000000004">
      <c r="A189" s="5" t="s">
        <v>25</v>
      </c>
      <c r="B189" s="5" t="s">
        <v>85</v>
      </c>
      <c r="C189" s="6">
        <v>4</v>
      </c>
      <c r="D189" s="6" t="s">
        <v>287</v>
      </c>
      <c r="E189" s="5"/>
      <c r="F189" s="6" t="s">
        <v>287</v>
      </c>
      <c r="G189" s="5"/>
    </row>
    <row r="190" spans="1:7" x14ac:dyDescent="0.55000000000000004">
      <c r="A190" s="5" t="s">
        <v>13</v>
      </c>
      <c r="B190" s="5" t="s">
        <v>85</v>
      </c>
      <c r="C190" s="6">
        <v>4</v>
      </c>
      <c r="D190" s="6" t="s">
        <v>287</v>
      </c>
      <c r="E190" s="5"/>
      <c r="F190" s="6" t="s">
        <v>287</v>
      </c>
      <c r="G190" s="5"/>
    </row>
    <row r="191" spans="1:7" x14ac:dyDescent="0.55000000000000004">
      <c r="A191" s="5" t="s">
        <v>16</v>
      </c>
      <c r="B191" s="5" t="s">
        <v>85</v>
      </c>
      <c r="C191" s="6">
        <v>4</v>
      </c>
      <c r="D191" s="6" t="s">
        <v>287</v>
      </c>
      <c r="E191" s="5"/>
      <c r="F191" s="6" t="s">
        <v>287</v>
      </c>
      <c r="G191" s="5"/>
    </row>
    <row r="192" spans="1:7" x14ac:dyDescent="0.55000000000000004">
      <c r="A192" s="5" t="s">
        <v>15</v>
      </c>
      <c r="B192" s="5" t="s">
        <v>85</v>
      </c>
      <c r="C192" s="6">
        <v>5</v>
      </c>
      <c r="D192" s="6">
        <v>0</v>
      </c>
      <c r="E192" s="5"/>
      <c r="F192" s="6">
        <v>0</v>
      </c>
      <c r="G192" s="5"/>
    </row>
    <row r="193" spans="1:7" x14ac:dyDescent="0.55000000000000004">
      <c r="A193" s="5" t="s">
        <v>18</v>
      </c>
      <c r="B193" s="5" t="s">
        <v>85</v>
      </c>
      <c r="C193" s="6">
        <v>5</v>
      </c>
      <c r="D193" s="6" t="s">
        <v>287</v>
      </c>
      <c r="E193" s="5"/>
      <c r="F193" s="6" t="s">
        <v>287</v>
      </c>
      <c r="G193" s="5"/>
    </row>
    <row r="194" spans="1:7" x14ac:dyDescent="0.55000000000000004">
      <c r="A194" s="5" t="s">
        <v>22</v>
      </c>
      <c r="B194" s="5" t="s">
        <v>85</v>
      </c>
      <c r="C194" s="6">
        <v>5</v>
      </c>
      <c r="D194" s="6" t="s">
        <v>287</v>
      </c>
      <c r="E194" s="5"/>
      <c r="F194" s="6" t="s">
        <v>287</v>
      </c>
      <c r="G194" s="5"/>
    </row>
    <row r="195" spans="1:7" x14ac:dyDescent="0.55000000000000004">
      <c r="A195" s="5" t="s">
        <v>26</v>
      </c>
      <c r="B195" s="5" t="s">
        <v>85</v>
      </c>
      <c r="C195" s="6">
        <v>5</v>
      </c>
      <c r="D195" s="6" t="s">
        <v>287</v>
      </c>
      <c r="E195" s="5"/>
      <c r="F195" s="6" t="s">
        <v>287</v>
      </c>
      <c r="G195" s="5"/>
    </row>
    <row r="196" spans="1:7" x14ac:dyDescent="0.55000000000000004">
      <c r="A196" s="5" t="s">
        <v>14</v>
      </c>
      <c r="B196" s="5" t="s">
        <v>85</v>
      </c>
      <c r="C196" s="6">
        <v>5</v>
      </c>
      <c r="D196" s="6" t="s">
        <v>287</v>
      </c>
      <c r="E196" s="5"/>
      <c r="F196" s="6" t="s">
        <v>287</v>
      </c>
      <c r="G196" s="5"/>
    </row>
    <row r="197" spans="1:7" x14ac:dyDescent="0.55000000000000004">
      <c r="A197" s="5" t="s">
        <v>17</v>
      </c>
      <c r="B197" s="5" t="s">
        <v>85</v>
      </c>
      <c r="C197" s="6">
        <v>5</v>
      </c>
      <c r="D197" s="6" t="s">
        <v>287</v>
      </c>
      <c r="E197" s="5"/>
      <c r="F197" s="6" t="s">
        <v>287</v>
      </c>
      <c r="G197" s="5"/>
    </row>
    <row r="198" spans="1:7" x14ac:dyDescent="0.55000000000000004">
      <c r="A198" s="5" t="s">
        <v>21</v>
      </c>
      <c r="B198" s="5" t="s">
        <v>85</v>
      </c>
      <c r="C198" s="6">
        <v>5</v>
      </c>
      <c r="D198" s="6" t="s">
        <v>287</v>
      </c>
      <c r="E198" s="5"/>
      <c r="F198" s="6" t="s">
        <v>287</v>
      </c>
      <c r="G198" s="5"/>
    </row>
    <row r="199" spans="1:7" x14ac:dyDescent="0.55000000000000004">
      <c r="A199" s="5" t="s">
        <v>25</v>
      </c>
      <c r="B199" s="5" t="s">
        <v>85</v>
      </c>
      <c r="C199" s="6">
        <v>5</v>
      </c>
      <c r="D199" s="6" t="s">
        <v>287</v>
      </c>
      <c r="E199" s="5"/>
      <c r="F199" s="6" t="s">
        <v>287</v>
      </c>
      <c r="G199" s="5"/>
    </row>
    <row r="200" spans="1:7" x14ac:dyDescent="0.55000000000000004">
      <c r="A200" s="5" t="s">
        <v>13</v>
      </c>
      <c r="B200" s="5" t="s">
        <v>85</v>
      </c>
      <c r="C200" s="6">
        <v>5</v>
      </c>
      <c r="D200" s="6" t="s">
        <v>287</v>
      </c>
      <c r="E200" s="5"/>
      <c r="F200" s="6" t="s">
        <v>287</v>
      </c>
      <c r="G200" s="5"/>
    </row>
    <row r="201" spans="1:7" x14ac:dyDescent="0.55000000000000004">
      <c r="A201" s="5" t="s">
        <v>16</v>
      </c>
      <c r="B201" s="5" t="s">
        <v>85</v>
      </c>
      <c r="C201" s="6">
        <v>5</v>
      </c>
      <c r="D201" s="6" t="s">
        <v>287</v>
      </c>
      <c r="E201" s="5"/>
      <c r="F201" s="6" t="s">
        <v>287</v>
      </c>
      <c r="G201" s="5"/>
    </row>
    <row r="202" spans="1:7" x14ac:dyDescent="0.55000000000000004">
      <c r="A202" s="5" t="s">
        <v>15</v>
      </c>
      <c r="B202" s="5" t="s">
        <v>169</v>
      </c>
      <c r="C202" s="6">
        <v>1</v>
      </c>
      <c r="D202" s="6">
        <v>118</v>
      </c>
      <c r="E202" s="5"/>
      <c r="F202" s="6">
        <v>90</v>
      </c>
      <c r="G202" s="5"/>
    </row>
    <row r="203" spans="1:7" x14ac:dyDescent="0.55000000000000004">
      <c r="A203" s="5" t="s">
        <v>18</v>
      </c>
      <c r="B203" s="5" t="s">
        <v>169</v>
      </c>
      <c r="C203" s="6">
        <v>1</v>
      </c>
      <c r="D203" s="6">
        <v>0</v>
      </c>
      <c r="E203" s="5"/>
      <c r="F203" s="6">
        <v>0</v>
      </c>
      <c r="G203" s="5"/>
    </row>
    <row r="204" spans="1:7" x14ac:dyDescent="0.55000000000000004">
      <c r="A204" s="5" t="s">
        <v>22</v>
      </c>
      <c r="B204" s="5" t="s">
        <v>169</v>
      </c>
      <c r="C204" s="6">
        <v>1</v>
      </c>
      <c r="D204" s="6">
        <v>66</v>
      </c>
      <c r="E204" s="5"/>
      <c r="F204" s="6">
        <v>60</v>
      </c>
      <c r="G204" s="5"/>
    </row>
    <row r="205" spans="1:7" x14ac:dyDescent="0.55000000000000004">
      <c r="A205" s="5" t="s">
        <v>26</v>
      </c>
      <c r="B205" s="5" t="s">
        <v>169</v>
      </c>
      <c r="C205" s="6">
        <v>1</v>
      </c>
      <c r="D205" s="6">
        <v>0</v>
      </c>
      <c r="E205" s="5"/>
      <c r="F205" s="6">
        <v>0</v>
      </c>
      <c r="G205" s="5"/>
    </row>
    <row r="206" spans="1:7" x14ac:dyDescent="0.55000000000000004">
      <c r="A206" s="5" t="s">
        <v>14</v>
      </c>
      <c r="B206" s="5" t="s">
        <v>169</v>
      </c>
      <c r="C206" s="6">
        <v>1</v>
      </c>
      <c r="D206" s="6">
        <v>0</v>
      </c>
      <c r="E206" s="5"/>
      <c r="F206" s="6">
        <v>0</v>
      </c>
      <c r="G206" s="5"/>
    </row>
    <row r="207" spans="1:7" x14ac:dyDescent="0.55000000000000004">
      <c r="A207" s="5" t="s">
        <v>17</v>
      </c>
      <c r="B207" s="5" t="s">
        <v>169</v>
      </c>
      <c r="C207" s="6">
        <v>1</v>
      </c>
      <c r="D207" s="6">
        <v>68</v>
      </c>
      <c r="E207" s="5"/>
      <c r="F207" s="6">
        <v>62</v>
      </c>
      <c r="G207" s="5"/>
    </row>
    <row r="208" spans="1:7" x14ac:dyDescent="0.55000000000000004">
      <c r="A208" s="5" t="s">
        <v>21</v>
      </c>
      <c r="B208" s="5" t="s">
        <v>169</v>
      </c>
      <c r="C208" s="6">
        <v>1</v>
      </c>
      <c r="D208" s="6">
        <v>115</v>
      </c>
      <c r="E208" s="5"/>
      <c r="F208" s="6">
        <v>82</v>
      </c>
      <c r="G208" s="5"/>
    </row>
    <row r="209" spans="1:7" x14ac:dyDescent="0.55000000000000004">
      <c r="A209" s="5" t="s">
        <v>25</v>
      </c>
      <c r="B209" s="5" t="s">
        <v>169</v>
      </c>
      <c r="C209" s="6">
        <v>1</v>
      </c>
      <c r="D209" s="6">
        <v>0</v>
      </c>
      <c r="E209" s="5"/>
      <c r="F209" s="6">
        <v>0</v>
      </c>
      <c r="G209" s="5"/>
    </row>
    <row r="210" spans="1:7" x14ac:dyDescent="0.55000000000000004">
      <c r="A210" s="5" t="s">
        <v>13</v>
      </c>
      <c r="B210" s="5" t="s">
        <v>169</v>
      </c>
      <c r="C210" s="6">
        <v>1</v>
      </c>
      <c r="D210" s="6" t="s">
        <v>287</v>
      </c>
      <c r="E210" s="5"/>
      <c r="F210" s="6" t="s">
        <v>287</v>
      </c>
      <c r="G210" s="5"/>
    </row>
    <row r="211" spans="1:7" x14ac:dyDescent="0.55000000000000004">
      <c r="A211" s="5" t="s">
        <v>16</v>
      </c>
      <c r="B211" s="5" t="s">
        <v>169</v>
      </c>
      <c r="C211" s="6">
        <v>1</v>
      </c>
      <c r="D211" s="6" t="s">
        <v>287</v>
      </c>
      <c r="E211" s="5"/>
      <c r="F211" s="6" t="s">
        <v>287</v>
      </c>
      <c r="G211" s="5"/>
    </row>
    <row r="212" spans="1:7" x14ac:dyDescent="0.55000000000000004">
      <c r="A212" s="5" t="s">
        <v>15</v>
      </c>
      <c r="B212" s="5" t="s">
        <v>169</v>
      </c>
      <c r="C212" s="6">
        <v>2</v>
      </c>
      <c r="D212" s="6">
        <v>2</v>
      </c>
      <c r="E212" s="5"/>
      <c r="F212" s="6">
        <v>0</v>
      </c>
      <c r="G212" s="5"/>
    </row>
    <row r="213" spans="1:7" x14ac:dyDescent="0.55000000000000004">
      <c r="A213" s="5" t="s">
        <v>18</v>
      </c>
      <c r="B213" s="5" t="s">
        <v>169</v>
      </c>
      <c r="C213" s="6">
        <v>2</v>
      </c>
      <c r="D213" s="6">
        <v>102</v>
      </c>
      <c r="E213" s="5"/>
      <c r="F213" s="6">
        <v>85</v>
      </c>
      <c r="G213" s="5"/>
    </row>
    <row r="214" spans="1:7" x14ac:dyDescent="0.55000000000000004">
      <c r="A214" s="5" t="s">
        <v>22</v>
      </c>
      <c r="B214" s="5" t="s">
        <v>169</v>
      </c>
      <c r="C214" s="6">
        <v>2</v>
      </c>
      <c r="D214" s="6">
        <v>0</v>
      </c>
      <c r="E214" s="5"/>
      <c r="F214" s="6">
        <v>0</v>
      </c>
      <c r="G214" s="5"/>
    </row>
    <row r="215" spans="1:7" x14ac:dyDescent="0.55000000000000004">
      <c r="A215" s="5" t="s">
        <v>26</v>
      </c>
      <c r="B215" s="5" t="s">
        <v>169</v>
      </c>
      <c r="C215" s="6">
        <v>2</v>
      </c>
      <c r="D215" s="6">
        <v>0</v>
      </c>
      <c r="E215" s="5"/>
      <c r="F215" s="6">
        <v>0</v>
      </c>
      <c r="G215" s="5"/>
    </row>
    <row r="216" spans="1:7" x14ac:dyDescent="0.55000000000000004">
      <c r="A216" s="5" t="s">
        <v>14</v>
      </c>
      <c r="B216" s="5" t="s">
        <v>169</v>
      </c>
      <c r="C216" s="6">
        <v>2</v>
      </c>
      <c r="D216" s="6">
        <v>118</v>
      </c>
      <c r="E216" s="5"/>
      <c r="F216" s="6">
        <v>38</v>
      </c>
      <c r="G216" s="5"/>
    </row>
    <row r="217" spans="1:7" x14ac:dyDescent="0.55000000000000004">
      <c r="A217" s="5" t="s">
        <v>17</v>
      </c>
      <c r="B217" s="5" t="s">
        <v>169</v>
      </c>
      <c r="C217" s="6">
        <v>2</v>
      </c>
      <c r="D217" s="6">
        <v>122</v>
      </c>
      <c r="E217" s="5"/>
      <c r="F217" s="6">
        <v>110</v>
      </c>
      <c r="G217" s="5"/>
    </row>
    <row r="218" spans="1:7" x14ac:dyDescent="0.55000000000000004">
      <c r="A218" s="5" t="s">
        <v>21</v>
      </c>
      <c r="B218" s="5" t="s">
        <v>169</v>
      </c>
      <c r="C218" s="6">
        <v>2</v>
      </c>
      <c r="D218" s="6">
        <v>0</v>
      </c>
      <c r="E218" s="5"/>
      <c r="F218" s="6">
        <v>0</v>
      </c>
      <c r="G218" s="5"/>
    </row>
    <row r="219" spans="1:7" x14ac:dyDescent="0.55000000000000004">
      <c r="A219" s="5" t="s">
        <v>25</v>
      </c>
      <c r="B219" s="5" t="s">
        <v>169</v>
      </c>
      <c r="C219" s="6">
        <v>2</v>
      </c>
      <c r="D219" s="6">
        <v>94</v>
      </c>
      <c r="E219" s="5"/>
      <c r="F219" s="6">
        <v>79</v>
      </c>
      <c r="G219" s="5"/>
    </row>
    <row r="220" spans="1:7" x14ac:dyDescent="0.55000000000000004">
      <c r="A220" s="5" t="s">
        <v>13</v>
      </c>
      <c r="B220" s="5" t="s">
        <v>169</v>
      </c>
      <c r="C220" s="6">
        <v>2</v>
      </c>
      <c r="D220" s="6">
        <v>60</v>
      </c>
      <c r="E220" s="5"/>
      <c r="F220" s="6">
        <v>45</v>
      </c>
      <c r="G220" s="5"/>
    </row>
    <row r="221" spans="1:7" x14ac:dyDescent="0.55000000000000004">
      <c r="A221" s="5" t="s">
        <v>16</v>
      </c>
      <c r="B221" s="5" t="s">
        <v>169</v>
      </c>
      <c r="C221" s="6">
        <v>2</v>
      </c>
      <c r="D221" s="6">
        <v>0</v>
      </c>
      <c r="E221" s="5"/>
      <c r="F221" s="6">
        <v>0</v>
      </c>
      <c r="G221" s="5"/>
    </row>
    <row r="222" spans="1:7" x14ac:dyDescent="0.55000000000000004">
      <c r="A222" s="5" t="s">
        <v>15</v>
      </c>
      <c r="B222" s="5" t="s">
        <v>169</v>
      </c>
      <c r="C222" s="6">
        <v>3</v>
      </c>
      <c r="D222" s="6">
        <v>0</v>
      </c>
      <c r="E222" s="5"/>
      <c r="F222" s="6">
        <v>0</v>
      </c>
      <c r="G222" s="5"/>
    </row>
    <row r="223" spans="1:7" x14ac:dyDescent="0.55000000000000004">
      <c r="A223" s="5" t="s">
        <v>18</v>
      </c>
      <c r="B223" s="5" t="s">
        <v>169</v>
      </c>
      <c r="C223" s="6">
        <v>3</v>
      </c>
      <c r="D223" s="6">
        <v>0</v>
      </c>
      <c r="E223" s="5"/>
      <c r="F223" s="6">
        <v>0</v>
      </c>
      <c r="G223" s="5"/>
    </row>
    <row r="224" spans="1:7" x14ac:dyDescent="0.55000000000000004">
      <c r="A224" s="5" t="s">
        <v>22</v>
      </c>
      <c r="B224" s="5" t="s">
        <v>169</v>
      </c>
      <c r="C224" s="6">
        <v>3</v>
      </c>
      <c r="D224" s="6">
        <v>0</v>
      </c>
      <c r="E224" s="5"/>
      <c r="F224" s="6">
        <v>0</v>
      </c>
      <c r="G224" s="5"/>
    </row>
    <row r="225" spans="1:7" x14ac:dyDescent="0.55000000000000004">
      <c r="A225" s="5" t="s">
        <v>26</v>
      </c>
      <c r="B225" s="5" t="s">
        <v>169</v>
      </c>
      <c r="C225" s="6">
        <v>3</v>
      </c>
      <c r="D225" s="6">
        <v>0</v>
      </c>
      <c r="E225" s="5"/>
      <c r="F225" s="6">
        <v>0</v>
      </c>
      <c r="G225" s="5"/>
    </row>
    <row r="226" spans="1:7" x14ac:dyDescent="0.55000000000000004">
      <c r="A226" s="5" t="s">
        <v>14</v>
      </c>
      <c r="B226" s="5" t="s">
        <v>169</v>
      </c>
      <c r="C226" s="6">
        <v>3</v>
      </c>
      <c r="D226" s="6">
        <v>0</v>
      </c>
      <c r="E226" s="5"/>
      <c r="F226" s="6">
        <v>0</v>
      </c>
      <c r="G226" s="5"/>
    </row>
    <row r="227" spans="1:7" x14ac:dyDescent="0.55000000000000004">
      <c r="A227" s="5" t="s">
        <v>17</v>
      </c>
      <c r="B227" s="5" t="s">
        <v>169</v>
      </c>
      <c r="C227" s="6">
        <v>3</v>
      </c>
      <c r="D227" s="6">
        <v>0</v>
      </c>
      <c r="E227" s="5"/>
      <c r="F227" s="6">
        <v>0</v>
      </c>
      <c r="G227" s="5"/>
    </row>
    <row r="228" spans="1:7" x14ac:dyDescent="0.55000000000000004">
      <c r="A228" s="5" t="s">
        <v>21</v>
      </c>
      <c r="B228" s="5" t="s">
        <v>169</v>
      </c>
      <c r="C228" s="6">
        <v>3</v>
      </c>
      <c r="D228" s="6">
        <v>0</v>
      </c>
      <c r="E228" s="5"/>
      <c r="F228" s="6">
        <v>0</v>
      </c>
      <c r="G228" s="5"/>
    </row>
    <row r="229" spans="1:7" x14ac:dyDescent="0.55000000000000004">
      <c r="A229" s="5" t="s">
        <v>25</v>
      </c>
      <c r="B229" s="5" t="s">
        <v>169</v>
      </c>
      <c r="C229" s="6">
        <v>3</v>
      </c>
      <c r="D229" s="6" t="s">
        <v>287</v>
      </c>
      <c r="E229" s="5"/>
      <c r="F229" s="6" t="s">
        <v>287</v>
      </c>
      <c r="G229" s="5"/>
    </row>
    <row r="230" spans="1:7" x14ac:dyDescent="0.55000000000000004">
      <c r="A230" s="5" t="s">
        <v>13</v>
      </c>
      <c r="B230" s="5" t="s">
        <v>169</v>
      </c>
      <c r="C230" s="6">
        <v>3</v>
      </c>
      <c r="D230" s="6" t="s">
        <v>287</v>
      </c>
      <c r="E230" s="5"/>
      <c r="F230" s="6" t="s">
        <v>287</v>
      </c>
      <c r="G230" s="5"/>
    </row>
    <row r="231" spans="1:7" x14ac:dyDescent="0.55000000000000004">
      <c r="A231" s="5" t="s">
        <v>16</v>
      </c>
      <c r="B231" s="5" t="s">
        <v>169</v>
      </c>
      <c r="C231" s="6">
        <v>3</v>
      </c>
      <c r="D231" s="6" t="s">
        <v>287</v>
      </c>
      <c r="E231" s="5"/>
      <c r="F231" s="6" t="s">
        <v>287</v>
      </c>
      <c r="G231" s="5"/>
    </row>
    <row r="232" spans="1:7" x14ac:dyDescent="0.55000000000000004">
      <c r="A232" s="5" t="s">
        <v>15</v>
      </c>
      <c r="B232" s="5" t="s">
        <v>169</v>
      </c>
      <c r="C232" s="6">
        <v>4</v>
      </c>
      <c r="D232" s="6">
        <v>0</v>
      </c>
      <c r="E232" s="5"/>
      <c r="F232" s="6">
        <v>0</v>
      </c>
      <c r="G232" s="5"/>
    </row>
    <row r="233" spans="1:7" x14ac:dyDescent="0.55000000000000004">
      <c r="A233" s="5" t="s">
        <v>18</v>
      </c>
      <c r="B233" s="5" t="s">
        <v>169</v>
      </c>
      <c r="C233" s="6">
        <v>4</v>
      </c>
      <c r="D233" s="6">
        <v>89</v>
      </c>
      <c r="E233" s="5"/>
      <c r="F233" s="6">
        <v>81</v>
      </c>
      <c r="G233" s="5"/>
    </row>
    <row r="234" spans="1:7" x14ac:dyDescent="0.55000000000000004">
      <c r="A234" s="5" t="s">
        <v>22</v>
      </c>
      <c r="B234" s="5" t="s">
        <v>169</v>
      </c>
      <c r="C234" s="6">
        <v>4</v>
      </c>
      <c r="D234" s="6">
        <v>0</v>
      </c>
      <c r="E234" s="5"/>
      <c r="F234" s="6">
        <v>0</v>
      </c>
      <c r="G234" s="5"/>
    </row>
    <row r="235" spans="1:7" x14ac:dyDescent="0.55000000000000004">
      <c r="A235" s="5" t="s">
        <v>26</v>
      </c>
      <c r="B235" s="5" t="s">
        <v>169</v>
      </c>
      <c r="C235" s="6">
        <v>4</v>
      </c>
      <c r="D235" s="6">
        <v>114</v>
      </c>
      <c r="E235" s="5"/>
      <c r="F235" s="6">
        <v>106</v>
      </c>
      <c r="G235" s="5"/>
    </row>
    <row r="236" spans="1:7" x14ac:dyDescent="0.55000000000000004">
      <c r="A236" s="5" t="s">
        <v>14</v>
      </c>
      <c r="B236" s="5" t="s">
        <v>169</v>
      </c>
      <c r="C236" s="6">
        <v>4</v>
      </c>
      <c r="D236" s="6">
        <v>18</v>
      </c>
      <c r="E236" s="5"/>
      <c r="F236" s="6">
        <v>0</v>
      </c>
      <c r="G236" s="5"/>
    </row>
    <row r="237" spans="1:7" x14ac:dyDescent="0.55000000000000004">
      <c r="A237" s="5" t="s">
        <v>17</v>
      </c>
      <c r="B237" s="5" t="s">
        <v>169</v>
      </c>
      <c r="C237" s="6">
        <v>4</v>
      </c>
      <c r="D237" s="6">
        <v>64</v>
      </c>
      <c r="E237" s="5"/>
      <c r="F237" s="6">
        <v>0</v>
      </c>
      <c r="G237" s="5"/>
    </row>
    <row r="238" spans="1:7" x14ac:dyDescent="0.55000000000000004">
      <c r="A238" s="5" t="s">
        <v>21</v>
      </c>
      <c r="B238" s="5" t="s">
        <v>169</v>
      </c>
      <c r="C238" s="6">
        <v>4</v>
      </c>
      <c r="D238" s="6">
        <v>75</v>
      </c>
      <c r="E238" s="5"/>
      <c r="F238" s="6">
        <v>46</v>
      </c>
      <c r="G238" s="5"/>
    </row>
    <row r="239" spans="1:7" x14ac:dyDescent="0.55000000000000004">
      <c r="A239" s="5" t="s">
        <v>25</v>
      </c>
      <c r="B239" s="5" t="s">
        <v>169</v>
      </c>
      <c r="C239" s="6">
        <v>4</v>
      </c>
      <c r="D239" s="6">
        <v>145</v>
      </c>
      <c r="E239" s="5"/>
      <c r="F239" s="6">
        <v>134</v>
      </c>
      <c r="G239" s="5"/>
    </row>
    <row r="240" spans="1:7" x14ac:dyDescent="0.55000000000000004">
      <c r="A240" s="5" t="s">
        <v>13</v>
      </c>
      <c r="B240" s="5" t="s">
        <v>169</v>
      </c>
      <c r="C240" s="6">
        <v>4</v>
      </c>
      <c r="D240" s="6">
        <v>128</v>
      </c>
      <c r="E240" s="5"/>
      <c r="F240" s="6">
        <v>104</v>
      </c>
      <c r="G240" s="5"/>
    </row>
    <row r="241" spans="1:7" x14ac:dyDescent="0.55000000000000004">
      <c r="A241" s="5" t="s">
        <v>16</v>
      </c>
      <c r="B241" s="5" t="s">
        <v>169</v>
      </c>
      <c r="C241" s="6">
        <v>4</v>
      </c>
      <c r="D241" s="6">
        <v>0</v>
      </c>
      <c r="E241" s="5"/>
      <c r="F241" s="6">
        <v>0</v>
      </c>
      <c r="G241" s="5"/>
    </row>
    <row r="242" spans="1:7" x14ac:dyDescent="0.55000000000000004">
      <c r="A242" s="5" t="s">
        <v>15</v>
      </c>
      <c r="B242" s="5" t="s">
        <v>169</v>
      </c>
      <c r="C242" s="6">
        <v>5</v>
      </c>
      <c r="D242" s="6">
        <v>73</v>
      </c>
      <c r="E242" s="5"/>
      <c r="F242" s="6">
        <v>57</v>
      </c>
      <c r="G242" s="5"/>
    </row>
    <row r="243" spans="1:7" x14ac:dyDescent="0.55000000000000004">
      <c r="A243" s="5" t="s">
        <v>18</v>
      </c>
      <c r="B243" s="5" t="s">
        <v>169</v>
      </c>
      <c r="C243" s="6">
        <v>5</v>
      </c>
      <c r="D243" s="6">
        <v>61</v>
      </c>
      <c r="E243" s="5"/>
      <c r="F243" s="6">
        <v>54</v>
      </c>
      <c r="G243" s="5"/>
    </row>
    <row r="244" spans="1:7" x14ac:dyDescent="0.55000000000000004">
      <c r="A244" s="5" t="s">
        <v>22</v>
      </c>
      <c r="B244" s="5" t="s">
        <v>169</v>
      </c>
      <c r="C244" s="6">
        <v>5</v>
      </c>
      <c r="D244" s="6">
        <v>129</v>
      </c>
      <c r="E244" s="5"/>
      <c r="F244" s="6">
        <v>118</v>
      </c>
      <c r="G244" s="5"/>
    </row>
    <row r="245" spans="1:7" x14ac:dyDescent="0.55000000000000004">
      <c r="A245" s="5" t="s">
        <v>26</v>
      </c>
      <c r="B245" s="5" t="s">
        <v>169</v>
      </c>
      <c r="C245" s="6">
        <v>5</v>
      </c>
      <c r="D245" s="6">
        <v>0</v>
      </c>
      <c r="E245" s="5"/>
      <c r="F245" s="6">
        <v>0</v>
      </c>
      <c r="G245" s="5"/>
    </row>
    <row r="246" spans="1:7" x14ac:dyDescent="0.55000000000000004">
      <c r="A246" s="5" t="s">
        <v>14</v>
      </c>
      <c r="B246" s="5" t="s">
        <v>169</v>
      </c>
      <c r="C246" s="6">
        <v>5</v>
      </c>
      <c r="D246" s="6" t="s">
        <v>287</v>
      </c>
      <c r="E246" s="5"/>
      <c r="F246" s="6" t="s">
        <v>287</v>
      </c>
      <c r="G246" s="5"/>
    </row>
    <row r="247" spans="1:7" x14ac:dyDescent="0.55000000000000004">
      <c r="A247" s="5" t="s">
        <v>17</v>
      </c>
      <c r="B247" s="5" t="s">
        <v>169</v>
      </c>
      <c r="C247" s="6">
        <v>5</v>
      </c>
      <c r="D247" s="6" t="s">
        <v>287</v>
      </c>
      <c r="E247" s="5"/>
      <c r="F247" s="6" t="s">
        <v>287</v>
      </c>
      <c r="G247" s="5"/>
    </row>
    <row r="248" spans="1:7" x14ac:dyDescent="0.55000000000000004">
      <c r="A248" s="5" t="s">
        <v>21</v>
      </c>
      <c r="B248" s="5" t="s">
        <v>169</v>
      </c>
      <c r="C248" s="6">
        <v>5</v>
      </c>
      <c r="D248" s="6" t="s">
        <v>287</v>
      </c>
      <c r="E248" s="5"/>
      <c r="F248" s="6" t="s">
        <v>287</v>
      </c>
      <c r="G248" s="5"/>
    </row>
    <row r="249" spans="1:7" x14ac:dyDescent="0.55000000000000004">
      <c r="A249" s="5" t="s">
        <v>25</v>
      </c>
      <c r="B249" s="5" t="s">
        <v>169</v>
      </c>
      <c r="C249" s="6">
        <v>5</v>
      </c>
      <c r="D249" s="6" t="s">
        <v>287</v>
      </c>
      <c r="E249" s="5"/>
      <c r="F249" s="6" t="s">
        <v>287</v>
      </c>
      <c r="G249" s="5"/>
    </row>
    <row r="250" spans="1:7" x14ac:dyDescent="0.55000000000000004">
      <c r="A250" s="5" t="s">
        <v>13</v>
      </c>
      <c r="B250" s="5" t="s">
        <v>169</v>
      </c>
      <c r="C250" s="6">
        <v>5</v>
      </c>
      <c r="D250" s="6" t="s">
        <v>287</v>
      </c>
      <c r="E250" s="5"/>
      <c r="F250" s="6" t="s">
        <v>287</v>
      </c>
      <c r="G250" s="5"/>
    </row>
    <row r="251" spans="1:7" x14ac:dyDescent="0.55000000000000004">
      <c r="A251" s="5" t="s">
        <v>16</v>
      </c>
      <c r="B251" s="5" t="s">
        <v>169</v>
      </c>
      <c r="C251" s="6">
        <v>5</v>
      </c>
      <c r="D251" s="6" t="s">
        <v>287</v>
      </c>
      <c r="E251" s="5"/>
      <c r="F251" s="6" t="s">
        <v>287</v>
      </c>
      <c r="G251" s="5"/>
    </row>
    <row r="252" spans="1:7" ht="25.5" x14ac:dyDescent="0.55000000000000004">
      <c r="A252" s="5" t="s">
        <v>15</v>
      </c>
      <c r="B252" s="5" t="s">
        <v>253</v>
      </c>
      <c r="C252" s="6">
        <v>1</v>
      </c>
      <c r="D252" s="6" t="s">
        <v>287</v>
      </c>
      <c r="E252" s="5"/>
      <c r="F252" s="6" t="s">
        <v>287</v>
      </c>
      <c r="G252" s="5"/>
    </row>
    <row r="253" spans="1:7" ht="25.5" x14ac:dyDescent="0.55000000000000004">
      <c r="A253" s="5" t="s">
        <v>18</v>
      </c>
      <c r="B253" s="5" t="s">
        <v>253</v>
      </c>
      <c r="C253" s="6">
        <v>1</v>
      </c>
      <c r="D253" s="6" t="s">
        <v>287</v>
      </c>
      <c r="E253" s="5"/>
      <c r="F253" s="6" t="s">
        <v>287</v>
      </c>
      <c r="G253" s="5"/>
    </row>
    <row r="254" spans="1:7" ht="25.5" x14ac:dyDescent="0.55000000000000004">
      <c r="A254" s="5" t="s">
        <v>22</v>
      </c>
      <c r="B254" s="5" t="s">
        <v>253</v>
      </c>
      <c r="C254" s="6">
        <v>1</v>
      </c>
      <c r="D254" s="6" t="s">
        <v>287</v>
      </c>
      <c r="E254" s="5"/>
      <c r="F254" s="6" t="s">
        <v>287</v>
      </c>
      <c r="G254" s="5"/>
    </row>
    <row r="255" spans="1:7" ht="25.5" x14ac:dyDescent="0.55000000000000004">
      <c r="A255" s="5" t="s">
        <v>26</v>
      </c>
      <c r="B255" s="5" t="s">
        <v>253</v>
      </c>
      <c r="C255" s="6">
        <v>1</v>
      </c>
      <c r="D255" s="6" t="s">
        <v>287</v>
      </c>
      <c r="E255" s="5"/>
      <c r="F255" s="6" t="s">
        <v>287</v>
      </c>
      <c r="G255" s="5"/>
    </row>
    <row r="256" spans="1:7" ht="25.5" x14ac:dyDescent="0.55000000000000004">
      <c r="A256" s="5" t="s">
        <v>14</v>
      </c>
      <c r="B256" s="5" t="s">
        <v>253</v>
      </c>
      <c r="C256" s="6">
        <v>1</v>
      </c>
      <c r="D256" s="6" t="s">
        <v>287</v>
      </c>
      <c r="E256" s="5"/>
      <c r="F256" s="6" t="s">
        <v>287</v>
      </c>
      <c r="G256" s="5"/>
    </row>
    <row r="257" spans="1:7" ht="25.5" x14ac:dyDescent="0.55000000000000004">
      <c r="A257" s="5" t="s">
        <v>17</v>
      </c>
      <c r="B257" s="5" t="s">
        <v>253</v>
      </c>
      <c r="C257" s="6">
        <v>1</v>
      </c>
      <c r="D257" s="6" t="s">
        <v>287</v>
      </c>
      <c r="E257" s="5"/>
      <c r="F257" s="6" t="s">
        <v>287</v>
      </c>
      <c r="G257" s="5"/>
    </row>
    <row r="258" spans="1:7" ht="25.5" x14ac:dyDescent="0.55000000000000004">
      <c r="A258" s="5" t="s">
        <v>21</v>
      </c>
      <c r="B258" s="5" t="s">
        <v>253</v>
      </c>
      <c r="C258" s="6">
        <v>1</v>
      </c>
      <c r="D258" s="6" t="s">
        <v>287</v>
      </c>
      <c r="E258" s="5"/>
      <c r="F258" s="6" t="s">
        <v>287</v>
      </c>
      <c r="G258" s="5"/>
    </row>
    <row r="259" spans="1:7" ht="25.5" x14ac:dyDescent="0.55000000000000004">
      <c r="A259" s="5" t="s">
        <v>25</v>
      </c>
      <c r="B259" s="5" t="s">
        <v>253</v>
      </c>
      <c r="C259" s="6">
        <v>1</v>
      </c>
      <c r="D259" s="6" t="s">
        <v>287</v>
      </c>
      <c r="E259" s="5"/>
      <c r="F259" s="6" t="s">
        <v>287</v>
      </c>
      <c r="G259" s="5"/>
    </row>
    <row r="260" spans="1:7" ht="25.5" x14ac:dyDescent="0.55000000000000004">
      <c r="A260" s="5" t="s">
        <v>13</v>
      </c>
      <c r="B260" s="5" t="s">
        <v>253</v>
      </c>
      <c r="C260" s="6">
        <v>1</v>
      </c>
      <c r="D260" s="6" t="s">
        <v>287</v>
      </c>
      <c r="E260" s="5"/>
      <c r="F260" s="6" t="s">
        <v>287</v>
      </c>
      <c r="G260" s="5"/>
    </row>
    <row r="261" spans="1:7" ht="25.5" x14ac:dyDescent="0.55000000000000004">
      <c r="A261" s="5" t="s">
        <v>16</v>
      </c>
      <c r="B261" s="5" t="s">
        <v>253</v>
      </c>
      <c r="C261" s="6">
        <v>1</v>
      </c>
      <c r="D261" s="6" t="s">
        <v>287</v>
      </c>
      <c r="E261" s="5"/>
      <c r="F261" s="6" t="s">
        <v>287</v>
      </c>
      <c r="G261" s="5"/>
    </row>
    <row r="262" spans="1:7" ht="25.5" x14ac:dyDescent="0.55000000000000004">
      <c r="A262" s="5" t="s">
        <v>15</v>
      </c>
      <c r="B262" s="5" t="s">
        <v>253</v>
      </c>
      <c r="C262" s="6">
        <v>2</v>
      </c>
      <c r="D262" s="6" t="s">
        <v>287</v>
      </c>
      <c r="E262" s="5"/>
      <c r="F262" s="6" t="s">
        <v>287</v>
      </c>
      <c r="G262" s="5"/>
    </row>
    <row r="263" spans="1:7" ht="25.5" x14ac:dyDescent="0.55000000000000004">
      <c r="A263" s="5" t="s">
        <v>18</v>
      </c>
      <c r="B263" s="5" t="s">
        <v>253</v>
      </c>
      <c r="C263" s="6">
        <v>2</v>
      </c>
      <c r="D263" s="6" t="s">
        <v>287</v>
      </c>
      <c r="E263" s="5"/>
      <c r="F263" s="6" t="s">
        <v>287</v>
      </c>
      <c r="G263" s="5"/>
    </row>
    <row r="264" spans="1:7" ht="25.5" x14ac:dyDescent="0.55000000000000004">
      <c r="A264" s="5" t="s">
        <v>22</v>
      </c>
      <c r="B264" s="5" t="s">
        <v>253</v>
      </c>
      <c r="C264" s="6">
        <v>2</v>
      </c>
      <c r="D264" s="6" t="s">
        <v>287</v>
      </c>
      <c r="E264" s="5"/>
      <c r="F264" s="6" t="s">
        <v>287</v>
      </c>
      <c r="G264" s="5"/>
    </row>
    <row r="265" spans="1:7" ht="25.5" x14ac:dyDescent="0.55000000000000004">
      <c r="A265" s="5" t="s">
        <v>26</v>
      </c>
      <c r="B265" s="5" t="s">
        <v>253</v>
      </c>
      <c r="C265" s="6">
        <v>2</v>
      </c>
      <c r="D265" s="6" t="s">
        <v>287</v>
      </c>
      <c r="E265" s="5"/>
      <c r="F265" s="6" t="s">
        <v>287</v>
      </c>
      <c r="G265" s="5"/>
    </row>
    <row r="266" spans="1:7" ht="25.5" x14ac:dyDescent="0.55000000000000004">
      <c r="A266" s="5" t="s">
        <v>14</v>
      </c>
      <c r="B266" s="5" t="s">
        <v>253</v>
      </c>
      <c r="C266" s="6">
        <v>2</v>
      </c>
      <c r="D266" s="6" t="s">
        <v>287</v>
      </c>
      <c r="E266" s="5"/>
      <c r="F266" s="6" t="s">
        <v>287</v>
      </c>
      <c r="G266" s="5"/>
    </row>
    <row r="267" spans="1:7" ht="25.5" x14ac:dyDescent="0.55000000000000004">
      <c r="A267" s="5" t="s">
        <v>17</v>
      </c>
      <c r="B267" s="5" t="s">
        <v>253</v>
      </c>
      <c r="C267" s="6">
        <v>2</v>
      </c>
      <c r="D267" s="6" t="s">
        <v>287</v>
      </c>
      <c r="E267" s="5"/>
      <c r="F267" s="6" t="s">
        <v>287</v>
      </c>
      <c r="G267" s="5"/>
    </row>
    <row r="268" spans="1:7" ht="25.5" x14ac:dyDescent="0.55000000000000004">
      <c r="A268" s="5" t="s">
        <v>21</v>
      </c>
      <c r="B268" s="5" t="s">
        <v>253</v>
      </c>
      <c r="C268" s="6">
        <v>2</v>
      </c>
      <c r="D268" s="6" t="s">
        <v>287</v>
      </c>
      <c r="E268" s="5"/>
      <c r="F268" s="6" t="s">
        <v>287</v>
      </c>
      <c r="G268" s="5"/>
    </row>
    <row r="269" spans="1:7" ht="25.5" x14ac:dyDescent="0.55000000000000004">
      <c r="A269" s="5" t="s">
        <v>25</v>
      </c>
      <c r="B269" s="5" t="s">
        <v>253</v>
      </c>
      <c r="C269" s="6">
        <v>2</v>
      </c>
      <c r="D269" s="6" t="s">
        <v>287</v>
      </c>
      <c r="E269" s="5"/>
      <c r="F269" s="6" t="s">
        <v>287</v>
      </c>
      <c r="G269" s="5"/>
    </row>
    <row r="270" spans="1:7" ht="25.5" x14ac:dyDescent="0.55000000000000004">
      <c r="A270" s="5" t="s">
        <v>13</v>
      </c>
      <c r="B270" s="5" t="s">
        <v>253</v>
      </c>
      <c r="C270" s="6">
        <v>2</v>
      </c>
      <c r="D270" s="6" t="s">
        <v>287</v>
      </c>
      <c r="E270" s="5"/>
      <c r="F270" s="6" t="s">
        <v>287</v>
      </c>
      <c r="G270" s="5"/>
    </row>
    <row r="271" spans="1:7" ht="25.5" x14ac:dyDescent="0.55000000000000004">
      <c r="A271" s="5" t="s">
        <v>16</v>
      </c>
      <c r="B271" s="5" t="s">
        <v>253</v>
      </c>
      <c r="C271" s="6">
        <v>2</v>
      </c>
      <c r="D271" s="6" t="s">
        <v>287</v>
      </c>
      <c r="E271" s="5"/>
      <c r="F271" s="6" t="s">
        <v>287</v>
      </c>
      <c r="G271" s="5"/>
    </row>
    <row r="272" spans="1:7" ht="25.5" x14ac:dyDescent="0.55000000000000004">
      <c r="A272" s="5" t="s">
        <v>15</v>
      </c>
      <c r="B272" s="5" t="s">
        <v>253</v>
      </c>
      <c r="C272" s="6">
        <v>3</v>
      </c>
      <c r="D272" s="6" t="s">
        <v>287</v>
      </c>
      <c r="E272" s="5"/>
      <c r="F272" s="6" t="s">
        <v>287</v>
      </c>
      <c r="G272" s="5"/>
    </row>
    <row r="273" spans="1:7" ht="25.5" x14ac:dyDescent="0.55000000000000004">
      <c r="A273" s="5" t="s">
        <v>18</v>
      </c>
      <c r="B273" s="5" t="s">
        <v>253</v>
      </c>
      <c r="C273" s="6">
        <v>3</v>
      </c>
      <c r="D273" s="6" t="s">
        <v>287</v>
      </c>
      <c r="E273" s="5"/>
      <c r="F273" s="6" t="s">
        <v>287</v>
      </c>
      <c r="G273" s="5"/>
    </row>
    <row r="274" spans="1:7" ht="25.5" x14ac:dyDescent="0.55000000000000004">
      <c r="A274" s="5" t="s">
        <v>22</v>
      </c>
      <c r="B274" s="5" t="s">
        <v>253</v>
      </c>
      <c r="C274" s="6">
        <v>3</v>
      </c>
      <c r="D274" s="6" t="s">
        <v>287</v>
      </c>
      <c r="E274" s="5"/>
      <c r="F274" s="6" t="s">
        <v>287</v>
      </c>
      <c r="G274" s="5"/>
    </row>
    <row r="275" spans="1:7" ht="25.5" x14ac:dyDescent="0.55000000000000004">
      <c r="A275" s="5" t="s">
        <v>26</v>
      </c>
      <c r="B275" s="5" t="s">
        <v>253</v>
      </c>
      <c r="C275" s="6">
        <v>3</v>
      </c>
      <c r="D275" s="6" t="s">
        <v>287</v>
      </c>
      <c r="E275" s="5"/>
      <c r="F275" s="6" t="s">
        <v>287</v>
      </c>
      <c r="G275" s="5"/>
    </row>
    <row r="276" spans="1:7" ht="25.5" x14ac:dyDescent="0.55000000000000004">
      <c r="A276" s="5" t="s">
        <v>14</v>
      </c>
      <c r="B276" s="5" t="s">
        <v>253</v>
      </c>
      <c r="C276" s="6">
        <v>3</v>
      </c>
      <c r="D276" s="6" t="s">
        <v>287</v>
      </c>
      <c r="E276" s="5"/>
      <c r="F276" s="6" t="s">
        <v>287</v>
      </c>
      <c r="G276" s="5"/>
    </row>
    <row r="277" spans="1:7" ht="25.5" x14ac:dyDescent="0.55000000000000004">
      <c r="A277" s="5" t="s">
        <v>17</v>
      </c>
      <c r="B277" s="5" t="s">
        <v>253</v>
      </c>
      <c r="C277" s="6">
        <v>3</v>
      </c>
      <c r="D277" s="6" t="s">
        <v>287</v>
      </c>
      <c r="E277" s="5"/>
      <c r="F277" s="6" t="s">
        <v>287</v>
      </c>
      <c r="G277" s="5"/>
    </row>
    <row r="278" spans="1:7" ht="25.5" x14ac:dyDescent="0.55000000000000004">
      <c r="A278" s="5" t="s">
        <v>21</v>
      </c>
      <c r="B278" s="5" t="s">
        <v>253</v>
      </c>
      <c r="C278" s="6">
        <v>3</v>
      </c>
      <c r="D278" s="6" t="s">
        <v>287</v>
      </c>
      <c r="E278" s="5"/>
      <c r="F278" s="6" t="s">
        <v>287</v>
      </c>
      <c r="G278" s="5"/>
    </row>
    <row r="279" spans="1:7" ht="25.5" x14ac:dyDescent="0.55000000000000004">
      <c r="A279" s="5" t="s">
        <v>25</v>
      </c>
      <c r="B279" s="5" t="s">
        <v>253</v>
      </c>
      <c r="C279" s="6">
        <v>3</v>
      </c>
      <c r="D279" s="6" t="s">
        <v>287</v>
      </c>
      <c r="E279" s="5"/>
      <c r="F279" s="6" t="s">
        <v>287</v>
      </c>
      <c r="G279" s="5"/>
    </row>
    <row r="280" spans="1:7" ht="25.5" x14ac:dyDescent="0.55000000000000004">
      <c r="A280" s="5" t="s">
        <v>13</v>
      </c>
      <c r="B280" s="5" t="s">
        <v>253</v>
      </c>
      <c r="C280" s="6">
        <v>3</v>
      </c>
      <c r="D280" s="6" t="s">
        <v>287</v>
      </c>
      <c r="E280" s="5"/>
      <c r="F280" s="6" t="s">
        <v>287</v>
      </c>
      <c r="G280" s="5"/>
    </row>
    <row r="281" spans="1:7" ht="25.5" x14ac:dyDescent="0.55000000000000004">
      <c r="A281" s="5" t="s">
        <v>16</v>
      </c>
      <c r="B281" s="5" t="s">
        <v>253</v>
      </c>
      <c r="C281" s="6">
        <v>3</v>
      </c>
      <c r="D281" s="6" t="s">
        <v>287</v>
      </c>
      <c r="E281" s="5"/>
      <c r="F281" s="6" t="s">
        <v>287</v>
      </c>
      <c r="G281" s="5"/>
    </row>
    <row r="282" spans="1:7" ht="25.5" x14ac:dyDescent="0.55000000000000004">
      <c r="A282" s="5" t="s">
        <v>15</v>
      </c>
      <c r="B282" s="5" t="s">
        <v>253</v>
      </c>
      <c r="C282" s="6">
        <v>4</v>
      </c>
      <c r="D282" s="6" t="s">
        <v>287</v>
      </c>
      <c r="E282" s="5"/>
      <c r="F282" s="6" t="s">
        <v>287</v>
      </c>
      <c r="G282" s="5"/>
    </row>
    <row r="283" spans="1:7" ht="25.5" x14ac:dyDescent="0.55000000000000004">
      <c r="A283" s="5" t="s">
        <v>18</v>
      </c>
      <c r="B283" s="5" t="s">
        <v>253</v>
      </c>
      <c r="C283" s="6">
        <v>4</v>
      </c>
      <c r="D283" s="6" t="s">
        <v>287</v>
      </c>
      <c r="E283" s="5"/>
      <c r="F283" s="6" t="s">
        <v>287</v>
      </c>
      <c r="G283" s="5"/>
    </row>
    <row r="284" spans="1:7" ht="25.5" x14ac:dyDescent="0.55000000000000004">
      <c r="A284" s="5" t="s">
        <v>22</v>
      </c>
      <c r="B284" s="5" t="s">
        <v>253</v>
      </c>
      <c r="C284" s="6">
        <v>4</v>
      </c>
      <c r="D284" s="6" t="s">
        <v>287</v>
      </c>
      <c r="E284" s="5"/>
      <c r="F284" s="6" t="s">
        <v>287</v>
      </c>
      <c r="G284" s="5"/>
    </row>
    <row r="285" spans="1:7" ht="25.5" x14ac:dyDescent="0.55000000000000004">
      <c r="A285" s="5" t="s">
        <v>26</v>
      </c>
      <c r="B285" s="5" t="s">
        <v>253</v>
      </c>
      <c r="C285" s="6">
        <v>4</v>
      </c>
      <c r="D285" s="6" t="s">
        <v>287</v>
      </c>
      <c r="E285" s="5"/>
      <c r="F285" s="6" t="s">
        <v>287</v>
      </c>
      <c r="G285" s="5"/>
    </row>
    <row r="286" spans="1:7" ht="25.5" x14ac:dyDescent="0.55000000000000004">
      <c r="A286" s="5" t="s">
        <v>14</v>
      </c>
      <c r="B286" s="5" t="s">
        <v>253</v>
      </c>
      <c r="C286" s="6">
        <v>4</v>
      </c>
      <c r="D286" s="6" t="s">
        <v>287</v>
      </c>
      <c r="E286" s="5"/>
      <c r="F286" s="6" t="s">
        <v>287</v>
      </c>
      <c r="G286" s="5"/>
    </row>
    <row r="287" spans="1:7" ht="25.5" x14ac:dyDescent="0.55000000000000004">
      <c r="A287" s="5" t="s">
        <v>17</v>
      </c>
      <c r="B287" s="5" t="s">
        <v>253</v>
      </c>
      <c r="C287" s="6">
        <v>4</v>
      </c>
      <c r="D287" s="6" t="s">
        <v>287</v>
      </c>
      <c r="E287" s="5"/>
      <c r="F287" s="6" t="s">
        <v>287</v>
      </c>
      <c r="G287" s="5"/>
    </row>
    <row r="288" spans="1:7" ht="25.5" x14ac:dyDescent="0.55000000000000004">
      <c r="A288" s="5" t="s">
        <v>21</v>
      </c>
      <c r="B288" s="5" t="s">
        <v>253</v>
      </c>
      <c r="C288" s="6">
        <v>4</v>
      </c>
      <c r="D288" s="6" t="s">
        <v>287</v>
      </c>
      <c r="E288" s="5"/>
      <c r="F288" s="6" t="s">
        <v>287</v>
      </c>
      <c r="G288" s="5"/>
    </row>
    <row r="289" spans="1:7" ht="25.5" x14ac:dyDescent="0.55000000000000004">
      <c r="A289" s="5" t="s">
        <v>25</v>
      </c>
      <c r="B289" s="5" t="s">
        <v>253</v>
      </c>
      <c r="C289" s="6">
        <v>4</v>
      </c>
      <c r="D289" s="6" t="s">
        <v>287</v>
      </c>
      <c r="E289" s="5"/>
      <c r="F289" s="6" t="s">
        <v>287</v>
      </c>
      <c r="G289" s="5"/>
    </row>
    <row r="290" spans="1:7" ht="25.5" x14ac:dyDescent="0.55000000000000004">
      <c r="A290" s="5" t="s">
        <v>13</v>
      </c>
      <c r="B290" s="5" t="s">
        <v>253</v>
      </c>
      <c r="C290" s="6">
        <v>4</v>
      </c>
      <c r="D290" s="6" t="s">
        <v>287</v>
      </c>
      <c r="E290" s="5"/>
      <c r="F290" s="6" t="s">
        <v>287</v>
      </c>
      <c r="G290" s="5"/>
    </row>
    <row r="291" spans="1:7" ht="25.5" x14ac:dyDescent="0.55000000000000004">
      <c r="A291" s="5" t="s">
        <v>16</v>
      </c>
      <c r="B291" s="5" t="s">
        <v>253</v>
      </c>
      <c r="C291" s="6">
        <v>4</v>
      </c>
      <c r="D291" s="6" t="s">
        <v>287</v>
      </c>
      <c r="E291" s="5"/>
      <c r="F291" s="6" t="s">
        <v>287</v>
      </c>
      <c r="G291" s="5"/>
    </row>
    <row r="292" spans="1:7" ht="25.5" x14ac:dyDescent="0.55000000000000004">
      <c r="A292" s="5" t="s">
        <v>15</v>
      </c>
      <c r="B292" s="5" t="s">
        <v>253</v>
      </c>
      <c r="C292" s="6">
        <v>5</v>
      </c>
      <c r="D292" s="6" t="s">
        <v>287</v>
      </c>
      <c r="E292" s="5"/>
      <c r="F292" s="6" t="s">
        <v>287</v>
      </c>
      <c r="G292" s="5"/>
    </row>
    <row r="293" spans="1:7" ht="25.5" x14ac:dyDescent="0.55000000000000004">
      <c r="A293" s="5" t="s">
        <v>18</v>
      </c>
      <c r="B293" s="5" t="s">
        <v>253</v>
      </c>
      <c r="C293" s="6">
        <v>5</v>
      </c>
      <c r="D293" s="6" t="s">
        <v>287</v>
      </c>
      <c r="E293" s="5"/>
      <c r="F293" s="6" t="s">
        <v>287</v>
      </c>
      <c r="G293" s="5"/>
    </row>
    <row r="294" spans="1:7" ht="25.5" x14ac:dyDescent="0.55000000000000004">
      <c r="A294" s="5" t="s">
        <v>22</v>
      </c>
      <c r="B294" s="5" t="s">
        <v>253</v>
      </c>
      <c r="C294" s="6">
        <v>5</v>
      </c>
      <c r="D294" s="6" t="s">
        <v>287</v>
      </c>
      <c r="E294" s="5"/>
      <c r="F294" s="6" t="s">
        <v>287</v>
      </c>
      <c r="G294" s="5"/>
    </row>
    <row r="295" spans="1:7" ht="25.5" x14ac:dyDescent="0.55000000000000004">
      <c r="A295" s="5" t="s">
        <v>26</v>
      </c>
      <c r="B295" s="5" t="s">
        <v>253</v>
      </c>
      <c r="C295" s="6">
        <v>5</v>
      </c>
      <c r="D295" s="6" t="s">
        <v>287</v>
      </c>
      <c r="E295" s="5"/>
      <c r="F295" s="6" t="s">
        <v>287</v>
      </c>
      <c r="G295" s="5"/>
    </row>
    <row r="296" spans="1:7" ht="25.5" x14ac:dyDescent="0.55000000000000004">
      <c r="A296" s="5" t="s">
        <v>14</v>
      </c>
      <c r="B296" s="5" t="s">
        <v>253</v>
      </c>
      <c r="C296" s="6">
        <v>5</v>
      </c>
      <c r="D296" s="6" t="s">
        <v>287</v>
      </c>
      <c r="E296" s="5"/>
      <c r="F296" s="6" t="s">
        <v>287</v>
      </c>
      <c r="G296" s="5"/>
    </row>
    <row r="297" spans="1:7" ht="25.5" x14ac:dyDescent="0.55000000000000004">
      <c r="A297" s="5" t="s">
        <v>17</v>
      </c>
      <c r="B297" s="5" t="s">
        <v>253</v>
      </c>
      <c r="C297" s="6">
        <v>5</v>
      </c>
      <c r="D297" s="6" t="s">
        <v>287</v>
      </c>
      <c r="E297" s="5"/>
      <c r="F297" s="6" t="s">
        <v>287</v>
      </c>
      <c r="G297" s="5"/>
    </row>
    <row r="298" spans="1:7" ht="25.5" x14ac:dyDescent="0.55000000000000004">
      <c r="A298" s="5" t="s">
        <v>21</v>
      </c>
      <c r="B298" s="5" t="s">
        <v>253</v>
      </c>
      <c r="C298" s="6">
        <v>5</v>
      </c>
      <c r="D298" s="6" t="s">
        <v>287</v>
      </c>
      <c r="E298" s="5"/>
      <c r="F298" s="6" t="s">
        <v>287</v>
      </c>
      <c r="G298" s="5"/>
    </row>
    <row r="299" spans="1:7" ht="25.5" x14ac:dyDescent="0.55000000000000004">
      <c r="A299" s="5" t="s">
        <v>25</v>
      </c>
      <c r="B299" s="5" t="s">
        <v>253</v>
      </c>
      <c r="C299" s="6">
        <v>5</v>
      </c>
      <c r="D299" s="6" t="s">
        <v>287</v>
      </c>
      <c r="E299" s="5"/>
      <c r="F299" s="6" t="s">
        <v>287</v>
      </c>
      <c r="G299" s="5"/>
    </row>
    <row r="300" spans="1:7" ht="25.5" x14ac:dyDescent="0.55000000000000004">
      <c r="A300" s="5" t="s">
        <v>13</v>
      </c>
      <c r="B300" s="5" t="s">
        <v>253</v>
      </c>
      <c r="C300" s="6">
        <v>5</v>
      </c>
      <c r="D300" s="6" t="s">
        <v>287</v>
      </c>
      <c r="E300" s="5"/>
      <c r="F300" s="6" t="s">
        <v>287</v>
      </c>
      <c r="G300" s="5"/>
    </row>
    <row r="301" spans="1:7" ht="25.5" x14ac:dyDescent="0.55000000000000004">
      <c r="A301" s="5" t="s">
        <v>16</v>
      </c>
      <c r="B301" s="5" t="s">
        <v>253</v>
      </c>
      <c r="C301" s="6">
        <v>5</v>
      </c>
      <c r="D301" s="6" t="s">
        <v>287</v>
      </c>
      <c r="E301" s="5"/>
      <c r="F301" s="6" t="s">
        <v>287</v>
      </c>
      <c r="G301" s="5"/>
    </row>
    <row r="302" spans="1:7" x14ac:dyDescent="0.55000000000000004">
      <c r="A302" s="5" t="s">
        <v>15</v>
      </c>
      <c r="B302" s="5" t="s">
        <v>11</v>
      </c>
      <c r="C302" s="6">
        <v>1</v>
      </c>
      <c r="D302" s="6">
        <v>0</v>
      </c>
      <c r="E302" s="5"/>
      <c r="F302" s="6">
        <v>0</v>
      </c>
      <c r="G302" s="5"/>
    </row>
    <row r="303" spans="1:7" x14ac:dyDescent="0.55000000000000004">
      <c r="A303" s="5" t="s">
        <v>18</v>
      </c>
      <c r="B303" s="5" t="s">
        <v>11</v>
      </c>
      <c r="C303" s="6">
        <v>1</v>
      </c>
      <c r="D303" s="6">
        <v>89</v>
      </c>
      <c r="E303" s="5"/>
      <c r="F303" s="6">
        <v>84</v>
      </c>
      <c r="G303" s="5"/>
    </row>
    <row r="304" spans="1:7" x14ac:dyDescent="0.55000000000000004">
      <c r="A304" s="5" t="s">
        <v>22</v>
      </c>
      <c r="B304" s="5" t="s">
        <v>11</v>
      </c>
      <c r="C304" s="6">
        <v>1</v>
      </c>
      <c r="D304" s="6">
        <v>0</v>
      </c>
      <c r="E304" s="5"/>
      <c r="F304" s="6">
        <v>0</v>
      </c>
      <c r="G304" s="5"/>
    </row>
    <row r="305" spans="1:7" x14ac:dyDescent="0.55000000000000004">
      <c r="A305" s="5" t="s">
        <v>26</v>
      </c>
      <c r="B305" s="5" t="s">
        <v>11</v>
      </c>
      <c r="C305" s="6">
        <v>1</v>
      </c>
      <c r="D305" s="6">
        <v>0</v>
      </c>
      <c r="E305" s="5"/>
      <c r="F305" s="6">
        <v>0</v>
      </c>
      <c r="G305" s="5"/>
    </row>
    <row r="306" spans="1:7" x14ac:dyDescent="0.55000000000000004">
      <c r="A306" s="5" t="s">
        <v>14</v>
      </c>
      <c r="B306" s="5" t="s">
        <v>11</v>
      </c>
      <c r="C306" s="6">
        <v>1</v>
      </c>
      <c r="D306" s="6">
        <v>54</v>
      </c>
      <c r="E306" s="5"/>
      <c r="F306" s="6">
        <v>45</v>
      </c>
      <c r="G306" s="5"/>
    </row>
    <row r="307" spans="1:7" x14ac:dyDescent="0.55000000000000004">
      <c r="A307" s="5" t="s">
        <v>17</v>
      </c>
      <c r="B307" s="5" t="s">
        <v>11</v>
      </c>
      <c r="C307" s="6">
        <v>1</v>
      </c>
      <c r="D307" s="6">
        <v>0</v>
      </c>
      <c r="E307" s="5"/>
      <c r="F307" s="6">
        <v>0</v>
      </c>
      <c r="G307" s="5"/>
    </row>
    <row r="308" spans="1:7" x14ac:dyDescent="0.55000000000000004">
      <c r="A308" s="5" t="s">
        <v>21</v>
      </c>
      <c r="B308" s="5" t="s">
        <v>11</v>
      </c>
      <c r="C308" s="6">
        <v>1</v>
      </c>
      <c r="D308" s="6">
        <v>0</v>
      </c>
      <c r="E308" s="5"/>
      <c r="F308" s="6">
        <v>0</v>
      </c>
      <c r="G308" s="5"/>
    </row>
    <row r="309" spans="1:7" x14ac:dyDescent="0.55000000000000004">
      <c r="A309" s="5" t="s">
        <v>25</v>
      </c>
      <c r="B309" s="5" t="s">
        <v>11</v>
      </c>
      <c r="C309" s="6">
        <v>1</v>
      </c>
      <c r="D309" s="6">
        <v>0</v>
      </c>
      <c r="E309" s="5"/>
      <c r="F309" s="6">
        <v>0</v>
      </c>
      <c r="G309" s="5"/>
    </row>
    <row r="310" spans="1:7" x14ac:dyDescent="0.55000000000000004">
      <c r="A310" s="5" t="s">
        <v>13</v>
      </c>
      <c r="B310" s="5" t="s">
        <v>11</v>
      </c>
      <c r="C310" s="6">
        <v>1</v>
      </c>
      <c r="D310" s="6" t="s">
        <v>287</v>
      </c>
      <c r="E310" s="5"/>
      <c r="F310" s="6" t="s">
        <v>287</v>
      </c>
      <c r="G310" s="5"/>
    </row>
    <row r="311" spans="1:7" x14ac:dyDescent="0.55000000000000004">
      <c r="A311" s="5" t="s">
        <v>16</v>
      </c>
      <c r="B311" s="5" t="s">
        <v>11</v>
      </c>
      <c r="C311" s="6">
        <v>1</v>
      </c>
      <c r="D311" s="6" t="s">
        <v>287</v>
      </c>
      <c r="E311" s="5"/>
      <c r="F311" s="6" t="s">
        <v>287</v>
      </c>
      <c r="G311" s="5"/>
    </row>
    <row r="312" spans="1:7" x14ac:dyDescent="0.55000000000000004">
      <c r="A312" s="5" t="s">
        <v>15</v>
      </c>
      <c r="B312" s="5" t="s">
        <v>11</v>
      </c>
      <c r="C312" s="6">
        <v>2</v>
      </c>
      <c r="D312" s="6">
        <v>78</v>
      </c>
      <c r="E312" s="5"/>
      <c r="F312" s="6">
        <v>69</v>
      </c>
      <c r="G312" s="5"/>
    </row>
    <row r="313" spans="1:7" x14ac:dyDescent="0.55000000000000004">
      <c r="A313" s="5" t="s">
        <v>18</v>
      </c>
      <c r="B313" s="5" t="s">
        <v>11</v>
      </c>
      <c r="C313" s="6">
        <v>2</v>
      </c>
      <c r="D313" s="6">
        <v>0</v>
      </c>
      <c r="E313" s="5"/>
      <c r="F313" s="6">
        <v>0</v>
      </c>
      <c r="G313" s="5"/>
    </row>
    <row r="314" spans="1:7" x14ac:dyDescent="0.55000000000000004">
      <c r="A314" s="5" t="s">
        <v>22</v>
      </c>
      <c r="B314" s="5" t="s">
        <v>11</v>
      </c>
      <c r="C314" s="6">
        <v>2</v>
      </c>
      <c r="D314" s="6">
        <v>171</v>
      </c>
      <c r="E314" s="5"/>
      <c r="F314" s="6">
        <v>144</v>
      </c>
      <c r="G314" s="5"/>
    </row>
    <row r="315" spans="1:7" x14ac:dyDescent="0.55000000000000004">
      <c r="A315" s="5" t="s">
        <v>26</v>
      </c>
      <c r="B315" s="5" t="s">
        <v>11</v>
      </c>
      <c r="C315" s="6">
        <v>2</v>
      </c>
      <c r="D315" s="6">
        <v>109</v>
      </c>
      <c r="E315" s="5"/>
      <c r="F315" s="6">
        <v>90</v>
      </c>
      <c r="G315" s="5"/>
    </row>
    <row r="316" spans="1:7" x14ac:dyDescent="0.55000000000000004">
      <c r="A316" s="5" t="s">
        <v>14</v>
      </c>
      <c r="B316" s="5" t="s">
        <v>11</v>
      </c>
      <c r="C316" s="6">
        <v>2</v>
      </c>
      <c r="D316" s="6">
        <v>129</v>
      </c>
      <c r="E316" s="5"/>
      <c r="F316" s="6">
        <v>115</v>
      </c>
      <c r="G316" s="5"/>
    </row>
    <row r="317" spans="1:7" x14ac:dyDescent="0.55000000000000004">
      <c r="A317" s="5" t="s">
        <v>17</v>
      </c>
      <c r="B317" s="5" t="s">
        <v>11</v>
      </c>
      <c r="C317" s="6">
        <v>2</v>
      </c>
      <c r="D317" s="6">
        <v>75</v>
      </c>
      <c r="E317" s="5"/>
      <c r="F317" s="6">
        <v>68</v>
      </c>
      <c r="G317" s="5"/>
    </row>
    <row r="318" spans="1:7" x14ac:dyDescent="0.55000000000000004">
      <c r="A318" s="5" t="s">
        <v>21</v>
      </c>
      <c r="B318" s="5" t="s">
        <v>11</v>
      </c>
      <c r="C318" s="6">
        <v>2</v>
      </c>
      <c r="D318" s="6">
        <v>1</v>
      </c>
      <c r="E318" s="5"/>
      <c r="F318" s="6">
        <v>0</v>
      </c>
      <c r="G318" s="5"/>
    </row>
    <row r="319" spans="1:7" x14ac:dyDescent="0.55000000000000004">
      <c r="A319" s="5" t="s">
        <v>25</v>
      </c>
      <c r="B319" s="5" t="s">
        <v>11</v>
      </c>
      <c r="C319" s="6">
        <v>2</v>
      </c>
      <c r="D319" s="6">
        <v>60</v>
      </c>
      <c r="E319" s="5"/>
      <c r="F319" s="6">
        <v>43</v>
      </c>
      <c r="G319" s="5"/>
    </row>
    <row r="320" spans="1:7" x14ac:dyDescent="0.55000000000000004">
      <c r="A320" s="5" t="s">
        <v>13</v>
      </c>
      <c r="B320" s="5" t="s">
        <v>11</v>
      </c>
      <c r="C320" s="6">
        <v>2</v>
      </c>
      <c r="D320" s="6" t="s">
        <v>287</v>
      </c>
      <c r="E320" s="5"/>
      <c r="F320" s="6" t="s">
        <v>287</v>
      </c>
      <c r="G320" s="5"/>
    </row>
    <row r="321" spans="1:7" x14ac:dyDescent="0.55000000000000004">
      <c r="A321" s="5" t="s">
        <v>16</v>
      </c>
      <c r="B321" s="5" t="s">
        <v>11</v>
      </c>
      <c r="C321" s="6">
        <v>2</v>
      </c>
      <c r="D321" s="6" t="s">
        <v>287</v>
      </c>
      <c r="E321" s="5"/>
      <c r="F321" s="6" t="s">
        <v>287</v>
      </c>
      <c r="G321" s="5"/>
    </row>
    <row r="322" spans="1:7" x14ac:dyDescent="0.55000000000000004">
      <c r="A322" s="5" t="s">
        <v>15</v>
      </c>
      <c r="B322" s="5" t="s">
        <v>11</v>
      </c>
      <c r="C322" s="6">
        <v>3</v>
      </c>
      <c r="D322" s="6">
        <v>0</v>
      </c>
      <c r="E322" s="5"/>
      <c r="F322" s="6">
        <v>0</v>
      </c>
      <c r="G322" s="5"/>
    </row>
    <row r="323" spans="1:7" x14ac:dyDescent="0.55000000000000004">
      <c r="A323" s="5" t="s">
        <v>18</v>
      </c>
      <c r="B323" s="5" t="s">
        <v>11</v>
      </c>
      <c r="C323" s="6">
        <v>3</v>
      </c>
      <c r="D323" s="6">
        <v>32</v>
      </c>
      <c r="E323" s="5"/>
      <c r="F323" s="6">
        <v>13</v>
      </c>
      <c r="G323" s="5"/>
    </row>
    <row r="324" spans="1:7" x14ac:dyDescent="0.55000000000000004">
      <c r="A324" s="5" t="s">
        <v>22</v>
      </c>
      <c r="B324" s="5" t="s">
        <v>11</v>
      </c>
      <c r="C324" s="6">
        <v>3</v>
      </c>
      <c r="D324" s="6">
        <v>0</v>
      </c>
      <c r="E324" s="5"/>
      <c r="F324" s="6">
        <v>0</v>
      </c>
      <c r="G324" s="5"/>
    </row>
    <row r="325" spans="1:7" x14ac:dyDescent="0.55000000000000004">
      <c r="A325" s="5" t="s">
        <v>26</v>
      </c>
      <c r="B325" s="5" t="s">
        <v>11</v>
      </c>
      <c r="C325" s="6">
        <v>3</v>
      </c>
      <c r="D325" s="6">
        <v>122</v>
      </c>
      <c r="E325" s="5"/>
      <c r="F325" s="6">
        <v>105</v>
      </c>
      <c r="G325" s="5"/>
    </row>
    <row r="326" spans="1:7" x14ac:dyDescent="0.55000000000000004">
      <c r="A326" s="5" t="s">
        <v>14</v>
      </c>
      <c r="B326" s="5" t="s">
        <v>11</v>
      </c>
      <c r="C326" s="6">
        <v>3</v>
      </c>
      <c r="D326" s="6">
        <v>0</v>
      </c>
      <c r="E326" s="5"/>
      <c r="F326" s="6">
        <v>0</v>
      </c>
      <c r="G326" s="5"/>
    </row>
    <row r="327" spans="1:7" x14ac:dyDescent="0.55000000000000004">
      <c r="A327" s="5" t="s">
        <v>17</v>
      </c>
      <c r="B327" s="5" t="s">
        <v>11</v>
      </c>
      <c r="C327" s="6">
        <v>3</v>
      </c>
      <c r="D327" s="6">
        <v>96</v>
      </c>
      <c r="E327" s="5"/>
      <c r="F327" s="6">
        <v>88</v>
      </c>
      <c r="G327" s="5"/>
    </row>
    <row r="328" spans="1:7" x14ac:dyDescent="0.55000000000000004">
      <c r="A328" s="5" t="s">
        <v>21</v>
      </c>
      <c r="B328" s="5" t="s">
        <v>11</v>
      </c>
      <c r="C328" s="6">
        <v>3</v>
      </c>
      <c r="D328" s="6">
        <v>0</v>
      </c>
      <c r="E328" s="5"/>
      <c r="F328" s="6">
        <v>0</v>
      </c>
      <c r="G328" s="5"/>
    </row>
    <row r="329" spans="1:7" x14ac:dyDescent="0.55000000000000004">
      <c r="A329" s="5" t="s">
        <v>25</v>
      </c>
      <c r="B329" s="5" t="s">
        <v>11</v>
      </c>
      <c r="C329" s="6">
        <v>3</v>
      </c>
      <c r="D329" s="6">
        <v>114</v>
      </c>
      <c r="E329" s="5"/>
      <c r="F329" s="6">
        <v>112</v>
      </c>
      <c r="G329" s="5"/>
    </row>
    <row r="330" spans="1:7" x14ac:dyDescent="0.55000000000000004">
      <c r="A330" s="5" t="s">
        <v>13</v>
      </c>
      <c r="B330" s="5" t="s">
        <v>11</v>
      </c>
      <c r="C330" s="6">
        <v>3</v>
      </c>
      <c r="D330" s="6">
        <v>0</v>
      </c>
      <c r="E330" s="5"/>
      <c r="F330" s="6">
        <v>0</v>
      </c>
      <c r="G330" s="5"/>
    </row>
    <row r="331" spans="1:7" x14ac:dyDescent="0.55000000000000004">
      <c r="A331" s="5" t="s">
        <v>16</v>
      </c>
      <c r="B331" s="5" t="s">
        <v>11</v>
      </c>
      <c r="C331" s="6">
        <v>3</v>
      </c>
      <c r="D331" s="6" t="s">
        <v>287</v>
      </c>
      <c r="E331" s="5"/>
      <c r="F331" s="6" t="s">
        <v>287</v>
      </c>
      <c r="G331" s="5"/>
    </row>
    <row r="332" spans="1:7" x14ac:dyDescent="0.55000000000000004">
      <c r="A332" s="5" t="s">
        <v>15</v>
      </c>
      <c r="B332" s="5" t="s">
        <v>11</v>
      </c>
      <c r="C332" s="6">
        <v>4</v>
      </c>
      <c r="D332" s="6">
        <v>100</v>
      </c>
      <c r="E332" s="5"/>
      <c r="F332" s="6">
        <v>90</v>
      </c>
      <c r="G332" s="5"/>
    </row>
    <row r="333" spans="1:7" x14ac:dyDescent="0.55000000000000004">
      <c r="A333" s="5" t="s">
        <v>18</v>
      </c>
      <c r="B333" s="5" t="s">
        <v>11</v>
      </c>
      <c r="C333" s="6">
        <v>4</v>
      </c>
      <c r="D333" s="6">
        <v>104</v>
      </c>
      <c r="E333" s="5"/>
      <c r="F333" s="6">
        <v>45</v>
      </c>
      <c r="G333" s="5"/>
    </row>
    <row r="334" spans="1:7" x14ac:dyDescent="0.55000000000000004">
      <c r="A334" s="5" t="s">
        <v>22</v>
      </c>
      <c r="B334" s="5" t="s">
        <v>11</v>
      </c>
      <c r="C334" s="6">
        <v>4</v>
      </c>
      <c r="D334" s="6">
        <v>96</v>
      </c>
      <c r="E334" s="5"/>
      <c r="F334" s="6">
        <v>90</v>
      </c>
      <c r="G334" s="5"/>
    </row>
    <row r="335" spans="1:7" x14ac:dyDescent="0.55000000000000004">
      <c r="A335" s="5" t="s">
        <v>26</v>
      </c>
      <c r="B335" s="5" t="s">
        <v>11</v>
      </c>
      <c r="C335" s="6">
        <v>4</v>
      </c>
      <c r="D335" s="6">
        <v>0</v>
      </c>
      <c r="E335" s="5"/>
      <c r="F335" s="6">
        <v>0</v>
      </c>
      <c r="G335" s="5"/>
    </row>
    <row r="336" spans="1:7" x14ac:dyDescent="0.55000000000000004">
      <c r="A336" s="5" t="s">
        <v>14</v>
      </c>
      <c r="B336" s="5" t="s">
        <v>11</v>
      </c>
      <c r="C336" s="6">
        <v>4</v>
      </c>
      <c r="D336" s="6">
        <v>0</v>
      </c>
      <c r="E336" s="5"/>
      <c r="F336" s="6">
        <v>0</v>
      </c>
      <c r="G336" s="5"/>
    </row>
    <row r="337" spans="1:7" x14ac:dyDescent="0.55000000000000004">
      <c r="A337" s="5" t="s">
        <v>17</v>
      </c>
      <c r="B337" s="5" t="s">
        <v>11</v>
      </c>
      <c r="C337" s="6">
        <v>4</v>
      </c>
      <c r="D337" s="6">
        <v>0</v>
      </c>
      <c r="E337" s="5"/>
      <c r="F337" s="6">
        <v>0</v>
      </c>
      <c r="G337" s="5"/>
    </row>
    <row r="338" spans="1:7" x14ac:dyDescent="0.55000000000000004">
      <c r="A338" s="5" t="s">
        <v>21</v>
      </c>
      <c r="B338" s="5" t="s">
        <v>11</v>
      </c>
      <c r="C338" s="6">
        <v>4</v>
      </c>
      <c r="D338" s="6">
        <v>0</v>
      </c>
      <c r="E338" s="5"/>
      <c r="F338" s="6">
        <v>0</v>
      </c>
      <c r="G338" s="5"/>
    </row>
    <row r="339" spans="1:7" x14ac:dyDescent="0.55000000000000004">
      <c r="A339" s="5" t="s">
        <v>25</v>
      </c>
      <c r="B339" s="5" t="s">
        <v>11</v>
      </c>
      <c r="C339" s="6">
        <v>4</v>
      </c>
      <c r="D339" s="6" t="s">
        <v>287</v>
      </c>
      <c r="E339" s="5"/>
      <c r="F339" s="6" t="s">
        <v>287</v>
      </c>
      <c r="G339" s="5"/>
    </row>
    <row r="340" spans="1:7" x14ac:dyDescent="0.55000000000000004">
      <c r="A340" s="5" t="s">
        <v>13</v>
      </c>
      <c r="B340" s="5" t="s">
        <v>11</v>
      </c>
      <c r="C340" s="6">
        <v>4</v>
      </c>
      <c r="D340" s="6" t="s">
        <v>287</v>
      </c>
      <c r="E340" s="5"/>
      <c r="F340" s="6" t="s">
        <v>287</v>
      </c>
      <c r="G340" s="5"/>
    </row>
    <row r="341" spans="1:7" x14ac:dyDescent="0.55000000000000004">
      <c r="A341" s="5" t="s">
        <v>16</v>
      </c>
      <c r="B341" s="5" t="s">
        <v>11</v>
      </c>
      <c r="C341" s="6">
        <v>4</v>
      </c>
      <c r="D341" s="6" t="s">
        <v>287</v>
      </c>
      <c r="E341" s="5"/>
      <c r="F341" s="6" t="s">
        <v>287</v>
      </c>
      <c r="G341" s="5"/>
    </row>
    <row r="342" spans="1:7" x14ac:dyDescent="0.55000000000000004">
      <c r="A342" s="5" t="s">
        <v>15</v>
      </c>
      <c r="B342" s="5" t="s">
        <v>11</v>
      </c>
      <c r="C342" s="6">
        <v>5</v>
      </c>
      <c r="D342" s="6">
        <v>0</v>
      </c>
      <c r="E342" s="5"/>
      <c r="F342" s="6">
        <v>0</v>
      </c>
      <c r="G342" s="5"/>
    </row>
    <row r="343" spans="1:7" x14ac:dyDescent="0.55000000000000004">
      <c r="A343" s="5" t="s">
        <v>18</v>
      </c>
      <c r="B343" s="5" t="s">
        <v>11</v>
      </c>
      <c r="C343" s="6">
        <v>5</v>
      </c>
      <c r="D343" s="6">
        <v>0</v>
      </c>
      <c r="E343" s="5"/>
      <c r="F343" s="6">
        <v>0</v>
      </c>
      <c r="G343" s="5"/>
    </row>
    <row r="344" spans="1:7" x14ac:dyDescent="0.55000000000000004">
      <c r="A344" s="5" t="s">
        <v>22</v>
      </c>
      <c r="B344" s="5" t="s">
        <v>11</v>
      </c>
      <c r="C344" s="6">
        <v>5</v>
      </c>
      <c r="D344" s="6">
        <v>82</v>
      </c>
      <c r="E344" s="5"/>
      <c r="F344" s="6">
        <v>70</v>
      </c>
      <c r="G344" s="5"/>
    </row>
    <row r="345" spans="1:7" x14ac:dyDescent="0.55000000000000004">
      <c r="A345" s="5" t="s">
        <v>26</v>
      </c>
      <c r="B345" s="5" t="s">
        <v>11</v>
      </c>
      <c r="C345" s="6">
        <v>5</v>
      </c>
      <c r="D345" s="6">
        <v>73</v>
      </c>
      <c r="E345" s="5"/>
      <c r="F345" s="6">
        <v>69</v>
      </c>
      <c r="G345" s="5"/>
    </row>
    <row r="346" spans="1:7" x14ac:dyDescent="0.55000000000000004">
      <c r="A346" s="5" t="s">
        <v>14</v>
      </c>
      <c r="B346" s="5" t="s">
        <v>11</v>
      </c>
      <c r="C346" s="6">
        <v>5</v>
      </c>
      <c r="D346" s="6">
        <v>114</v>
      </c>
      <c r="E346" s="5"/>
      <c r="F346" s="6">
        <v>0</v>
      </c>
      <c r="G346" s="5"/>
    </row>
    <row r="347" spans="1:7" x14ac:dyDescent="0.55000000000000004">
      <c r="A347" s="5" t="s">
        <v>17</v>
      </c>
      <c r="B347" s="5" t="s">
        <v>11</v>
      </c>
      <c r="C347" s="6">
        <v>5</v>
      </c>
      <c r="D347" s="6">
        <v>73</v>
      </c>
      <c r="E347" s="5"/>
      <c r="F347" s="6">
        <v>64</v>
      </c>
      <c r="G347" s="5"/>
    </row>
    <row r="348" spans="1:7" x14ac:dyDescent="0.55000000000000004">
      <c r="A348" s="5" t="s">
        <v>21</v>
      </c>
      <c r="B348" s="5" t="s">
        <v>11</v>
      </c>
      <c r="C348" s="6">
        <v>5</v>
      </c>
      <c r="D348" s="6">
        <v>0</v>
      </c>
      <c r="E348" s="5"/>
      <c r="F348" s="6">
        <v>0</v>
      </c>
      <c r="G348" s="5"/>
    </row>
    <row r="349" spans="1:7" x14ac:dyDescent="0.55000000000000004">
      <c r="A349" s="5" t="s">
        <v>25</v>
      </c>
      <c r="B349" s="5" t="s">
        <v>11</v>
      </c>
      <c r="C349" s="6">
        <v>5</v>
      </c>
      <c r="D349" s="6">
        <v>129</v>
      </c>
      <c r="E349" s="5"/>
      <c r="F349" s="6">
        <v>124</v>
      </c>
      <c r="G349" s="5"/>
    </row>
    <row r="350" spans="1:7" x14ac:dyDescent="0.55000000000000004">
      <c r="A350" s="5" t="s">
        <v>13</v>
      </c>
      <c r="B350" s="5" t="s">
        <v>11</v>
      </c>
      <c r="C350" s="6">
        <v>5</v>
      </c>
      <c r="D350" s="6">
        <v>0</v>
      </c>
      <c r="E350" s="5"/>
      <c r="F350" s="6">
        <v>0</v>
      </c>
      <c r="G350" s="5"/>
    </row>
    <row r="351" spans="1:7" x14ac:dyDescent="0.55000000000000004">
      <c r="A351" s="5" t="s">
        <v>16</v>
      </c>
      <c r="B351" s="5" t="s">
        <v>11</v>
      </c>
      <c r="C351" s="6">
        <v>5</v>
      </c>
      <c r="D351" s="6" t="s">
        <v>287</v>
      </c>
      <c r="E351" s="5"/>
      <c r="F351" s="6" t="s">
        <v>287</v>
      </c>
      <c r="G351" s="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0857-9A13-4B93-8E6F-2CCF40B36405}">
  <dimension ref="A1:D36"/>
  <sheetViews>
    <sheetView tabSelected="1" workbookViewId="0">
      <selection activeCell="Q16" sqref="Q16"/>
    </sheetView>
  </sheetViews>
  <sheetFormatPr defaultRowHeight="14.4" x14ac:dyDescent="0.55000000000000004"/>
  <sheetData>
    <row r="1" spans="1:4" ht="37.799999999999997" x14ac:dyDescent="0.55000000000000004">
      <c r="A1" s="4" t="s">
        <v>1</v>
      </c>
      <c r="B1" s="4" t="s">
        <v>285</v>
      </c>
      <c r="C1" s="5" t="s">
        <v>344</v>
      </c>
      <c r="D1" s="5" t="s">
        <v>345</v>
      </c>
    </row>
    <row r="2" spans="1:4" x14ac:dyDescent="0.55000000000000004">
      <c r="A2" s="5" t="s">
        <v>42</v>
      </c>
      <c r="B2" s="6">
        <v>1</v>
      </c>
      <c r="C2" s="6">
        <v>8</v>
      </c>
      <c r="D2" s="6">
        <v>2</v>
      </c>
    </row>
    <row r="3" spans="1:4" x14ac:dyDescent="0.55000000000000004">
      <c r="A3" s="5" t="s">
        <v>42</v>
      </c>
      <c r="B3" s="6">
        <v>2</v>
      </c>
      <c r="C3" s="6">
        <v>5</v>
      </c>
      <c r="D3" s="6">
        <v>5</v>
      </c>
    </row>
    <row r="4" spans="1:4" x14ac:dyDescent="0.55000000000000004">
      <c r="A4" s="5" t="s">
        <v>42</v>
      </c>
      <c r="B4" s="6">
        <v>3</v>
      </c>
      <c r="C4" s="6">
        <v>4</v>
      </c>
      <c r="D4" s="6">
        <v>6</v>
      </c>
    </row>
    <row r="5" spans="1:4" x14ac:dyDescent="0.55000000000000004">
      <c r="A5" s="5" t="s">
        <v>42</v>
      </c>
      <c r="B5" s="6">
        <v>4</v>
      </c>
      <c r="C5" s="6">
        <v>6</v>
      </c>
      <c r="D5" s="6">
        <v>4</v>
      </c>
    </row>
    <row r="6" spans="1:4" x14ac:dyDescent="0.55000000000000004">
      <c r="A6" s="5" t="s">
        <v>42</v>
      </c>
      <c r="B6" s="6">
        <v>5</v>
      </c>
      <c r="C6" s="6">
        <v>9</v>
      </c>
      <c r="D6" s="6">
        <v>1</v>
      </c>
    </row>
    <row r="7" spans="1:4" x14ac:dyDescent="0.55000000000000004">
      <c r="A7" s="5" t="s">
        <v>120</v>
      </c>
      <c r="B7" s="6">
        <v>1</v>
      </c>
      <c r="C7" s="6">
        <v>0</v>
      </c>
      <c r="D7" s="6">
        <v>10</v>
      </c>
    </row>
    <row r="8" spans="1:4" x14ac:dyDescent="0.55000000000000004">
      <c r="A8" s="5" t="s">
        <v>120</v>
      </c>
      <c r="B8" s="6">
        <v>2</v>
      </c>
      <c r="C8" s="6">
        <v>1</v>
      </c>
      <c r="D8" s="6">
        <v>9</v>
      </c>
    </row>
    <row r="9" spans="1:4" x14ac:dyDescent="0.55000000000000004">
      <c r="A9" s="5" t="s">
        <v>120</v>
      </c>
      <c r="B9" s="6">
        <v>3</v>
      </c>
      <c r="C9" s="6">
        <v>0</v>
      </c>
      <c r="D9" s="6">
        <v>10</v>
      </c>
    </row>
    <row r="10" spans="1:4" x14ac:dyDescent="0.55000000000000004">
      <c r="A10" s="5" t="s">
        <v>120</v>
      </c>
      <c r="B10" s="6">
        <v>4</v>
      </c>
      <c r="C10" s="6">
        <v>0</v>
      </c>
      <c r="D10" s="6">
        <v>10</v>
      </c>
    </row>
    <row r="11" spans="1:4" x14ac:dyDescent="0.55000000000000004">
      <c r="A11" s="5" t="s">
        <v>120</v>
      </c>
      <c r="B11" s="6">
        <v>5</v>
      </c>
      <c r="C11" s="6">
        <v>0</v>
      </c>
      <c r="D11" s="6">
        <v>10</v>
      </c>
    </row>
    <row r="12" spans="1:4" ht="25.5" x14ac:dyDescent="0.55000000000000004">
      <c r="A12" s="5" t="s">
        <v>215</v>
      </c>
      <c r="B12" s="6">
        <v>1</v>
      </c>
      <c r="C12" s="6" t="s">
        <v>287</v>
      </c>
      <c r="D12" s="6" t="s">
        <v>287</v>
      </c>
    </row>
    <row r="13" spans="1:4" ht="25.5" x14ac:dyDescent="0.55000000000000004">
      <c r="A13" s="5" t="s">
        <v>215</v>
      </c>
      <c r="B13" s="6">
        <v>2</v>
      </c>
      <c r="C13" s="6" t="s">
        <v>287</v>
      </c>
      <c r="D13" s="6" t="s">
        <v>287</v>
      </c>
    </row>
    <row r="14" spans="1:4" ht="25.5" x14ac:dyDescent="0.55000000000000004">
      <c r="A14" s="5" t="s">
        <v>215</v>
      </c>
      <c r="B14" s="6">
        <v>3</v>
      </c>
      <c r="C14" s="6" t="s">
        <v>287</v>
      </c>
      <c r="D14" s="6" t="s">
        <v>287</v>
      </c>
    </row>
    <row r="15" spans="1:4" ht="25.5" x14ac:dyDescent="0.55000000000000004">
      <c r="A15" s="5" t="s">
        <v>215</v>
      </c>
      <c r="B15" s="6">
        <v>4</v>
      </c>
      <c r="C15" s="6" t="s">
        <v>287</v>
      </c>
      <c r="D15" s="6" t="s">
        <v>287</v>
      </c>
    </row>
    <row r="16" spans="1:4" ht="25.5" x14ac:dyDescent="0.55000000000000004">
      <c r="A16" s="5" t="s">
        <v>215</v>
      </c>
      <c r="B16" s="6">
        <v>5</v>
      </c>
      <c r="C16" s="6" t="s">
        <v>287</v>
      </c>
      <c r="D16" s="6" t="s">
        <v>287</v>
      </c>
    </row>
    <row r="17" spans="1:4" x14ac:dyDescent="0.55000000000000004">
      <c r="A17" s="5" t="s">
        <v>85</v>
      </c>
      <c r="B17" s="6">
        <v>1</v>
      </c>
      <c r="C17" s="6">
        <v>4</v>
      </c>
      <c r="D17" s="6">
        <v>6</v>
      </c>
    </row>
    <row r="18" spans="1:4" x14ac:dyDescent="0.55000000000000004">
      <c r="A18" s="5" t="s">
        <v>85</v>
      </c>
      <c r="B18" s="6">
        <v>2</v>
      </c>
      <c r="C18" s="6">
        <v>9</v>
      </c>
      <c r="D18" s="6">
        <v>1</v>
      </c>
    </row>
    <row r="19" spans="1:4" x14ac:dyDescent="0.55000000000000004">
      <c r="A19" s="5" t="s">
        <v>85</v>
      </c>
      <c r="B19" s="6">
        <v>3</v>
      </c>
      <c r="C19" s="6">
        <v>4</v>
      </c>
      <c r="D19" s="6">
        <v>6</v>
      </c>
    </row>
    <row r="20" spans="1:4" x14ac:dyDescent="0.55000000000000004">
      <c r="A20" s="5" t="s">
        <v>85</v>
      </c>
      <c r="B20" s="6">
        <v>4</v>
      </c>
      <c r="C20" s="6">
        <v>4</v>
      </c>
      <c r="D20" s="6">
        <v>6</v>
      </c>
    </row>
    <row r="21" spans="1:4" x14ac:dyDescent="0.55000000000000004">
      <c r="A21" s="5" t="s">
        <v>85</v>
      </c>
      <c r="B21" s="6">
        <v>5</v>
      </c>
      <c r="C21" s="6">
        <v>1</v>
      </c>
      <c r="D21" s="6">
        <v>9</v>
      </c>
    </row>
    <row r="22" spans="1:4" x14ac:dyDescent="0.55000000000000004">
      <c r="A22" s="5" t="s">
        <v>169</v>
      </c>
      <c r="B22" s="6">
        <v>1</v>
      </c>
      <c r="C22" s="6">
        <v>8</v>
      </c>
      <c r="D22" s="6">
        <v>2</v>
      </c>
    </row>
    <row r="23" spans="1:4" x14ac:dyDescent="0.55000000000000004">
      <c r="A23" s="5" t="s">
        <v>169</v>
      </c>
      <c r="B23" s="6">
        <v>2</v>
      </c>
      <c r="C23" s="6">
        <v>10</v>
      </c>
      <c r="D23" s="6">
        <v>0</v>
      </c>
    </row>
    <row r="24" spans="1:4" x14ac:dyDescent="0.55000000000000004">
      <c r="A24" s="5" t="s">
        <v>169</v>
      </c>
      <c r="B24" s="6">
        <v>3</v>
      </c>
      <c r="C24" s="6">
        <v>7</v>
      </c>
      <c r="D24" s="6">
        <v>3</v>
      </c>
    </row>
    <row r="25" spans="1:4" x14ac:dyDescent="0.55000000000000004">
      <c r="A25" s="5" t="s">
        <v>169</v>
      </c>
      <c r="B25" s="6">
        <v>4</v>
      </c>
      <c r="C25" s="6">
        <v>10</v>
      </c>
      <c r="D25" s="6">
        <v>0</v>
      </c>
    </row>
    <row r="26" spans="1:4" x14ac:dyDescent="0.55000000000000004">
      <c r="A26" s="5" t="s">
        <v>169</v>
      </c>
      <c r="B26" s="6">
        <v>5</v>
      </c>
      <c r="C26" s="6">
        <v>4</v>
      </c>
      <c r="D26" s="6">
        <v>6</v>
      </c>
    </row>
    <row r="27" spans="1:4" ht="25.5" x14ac:dyDescent="0.55000000000000004">
      <c r="A27" s="5" t="s">
        <v>253</v>
      </c>
      <c r="B27" s="6">
        <v>1</v>
      </c>
      <c r="C27" s="6" t="s">
        <v>287</v>
      </c>
      <c r="D27" s="6" t="s">
        <v>287</v>
      </c>
    </row>
    <row r="28" spans="1:4" ht="25.5" x14ac:dyDescent="0.55000000000000004">
      <c r="A28" s="5" t="s">
        <v>253</v>
      </c>
      <c r="B28" s="6">
        <v>2</v>
      </c>
      <c r="C28" s="6" t="s">
        <v>287</v>
      </c>
      <c r="D28" s="6" t="s">
        <v>287</v>
      </c>
    </row>
    <row r="29" spans="1:4" ht="25.5" x14ac:dyDescent="0.55000000000000004">
      <c r="A29" s="5" t="s">
        <v>253</v>
      </c>
      <c r="B29" s="6">
        <v>3</v>
      </c>
      <c r="C29" s="6" t="s">
        <v>287</v>
      </c>
      <c r="D29" s="6" t="s">
        <v>287</v>
      </c>
    </row>
    <row r="30" spans="1:4" ht="25.5" x14ac:dyDescent="0.55000000000000004">
      <c r="A30" s="5" t="s">
        <v>253</v>
      </c>
      <c r="B30" s="6">
        <v>4</v>
      </c>
      <c r="C30" s="6" t="s">
        <v>287</v>
      </c>
      <c r="D30" s="6" t="s">
        <v>287</v>
      </c>
    </row>
    <row r="31" spans="1:4" ht="25.5" x14ac:dyDescent="0.55000000000000004">
      <c r="A31" s="5" t="s">
        <v>253</v>
      </c>
      <c r="B31" s="6">
        <v>5</v>
      </c>
      <c r="C31" s="6" t="s">
        <v>287</v>
      </c>
      <c r="D31" s="6" t="s">
        <v>287</v>
      </c>
    </row>
    <row r="32" spans="1:4" x14ac:dyDescent="0.55000000000000004">
      <c r="A32" s="5" t="s">
        <v>11</v>
      </c>
      <c r="B32" s="6">
        <v>1</v>
      </c>
      <c r="C32" s="6">
        <v>8</v>
      </c>
      <c r="D32" s="6">
        <v>2</v>
      </c>
    </row>
    <row r="33" spans="1:4" x14ac:dyDescent="0.55000000000000004">
      <c r="A33" s="5" t="s">
        <v>11</v>
      </c>
      <c r="B33" s="6">
        <v>2</v>
      </c>
      <c r="C33" s="6">
        <v>8</v>
      </c>
      <c r="D33" s="6">
        <v>2</v>
      </c>
    </row>
    <row r="34" spans="1:4" x14ac:dyDescent="0.55000000000000004">
      <c r="A34" s="5" t="s">
        <v>11</v>
      </c>
      <c r="B34" s="6">
        <v>3</v>
      </c>
      <c r="C34" s="6">
        <v>9</v>
      </c>
      <c r="D34" s="6">
        <v>1</v>
      </c>
    </row>
    <row r="35" spans="1:4" x14ac:dyDescent="0.55000000000000004">
      <c r="A35" s="5" t="s">
        <v>11</v>
      </c>
      <c r="B35" s="6">
        <v>4</v>
      </c>
      <c r="C35" s="6">
        <v>7</v>
      </c>
      <c r="D35" s="6">
        <v>3</v>
      </c>
    </row>
    <row r="36" spans="1:4" x14ac:dyDescent="0.55000000000000004">
      <c r="A36" s="5" t="s">
        <v>11</v>
      </c>
      <c r="B36" s="6">
        <v>5</v>
      </c>
      <c r="C36" s="6">
        <v>9</v>
      </c>
      <c r="D3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QA383P</vt:lpstr>
      <vt:lpstr>1759</vt:lpstr>
      <vt:lpstr>1759_QA383P_SummaryData</vt:lpstr>
      <vt:lpstr>2360B5</vt:lpstr>
      <vt:lpstr>2360B5_SummaryData</vt:lpstr>
    </vt:vector>
  </TitlesOfParts>
  <Company>Francis Crick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Larrosa Godall</dc:creator>
  <cp:lastModifiedBy>Mireia Larrosa Godall</cp:lastModifiedBy>
  <dcterms:created xsi:type="dcterms:W3CDTF">2025-11-25T13:00:51Z</dcterms:created>
  <dcterms:modified xsi:type="dcterms:W3CDTF">2025-11-25T13:13:03Z</dcterms:modified>
</cp:coreProperties>
</file>