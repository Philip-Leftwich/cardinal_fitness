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l\Downloads\"/>
    </mc:Choice>
  </mc:AlternateContent>
  <xr:revisionPtr revIDLastSave="0" documentId="8_{CAC92788-4455-45D2-A91E-33682773EB23}" xr6:coauthVersionLast="47" xr6:coauthVersionMax="47" xr10:uidLastSave="{00000000-0000-0000-0000-000000000000}"/>
  <bookViews>
    <workbookView xWindow="-110" yWindow="-110" windowWidth="19420" windowHeight="10300" activeTab="4" xr2:uid="{C8A870BE-E29D-4ACB-BC3F-CF406156009F}"/>
  </bookViews>
  <sheets>
    <sheet name="Cd KO survival" sheetId="3" r:id="rId1"/>
    <sheet name="Cd KO fertility" sheetId="1" r:id="rId2"/>
    <sheet name="1759 survival" sheetId="4" r:id="rId3"/>
    <sheet name="2072 survival" sheetId="6" r:id="rId4"/>
    <sheet name="1759 fertility" sheetId="2" r:id="rId5"/>
    <sheet name="Summar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4" i="2" l="1"/>
  <c r="O125" i="2"/>
  <c r="O77" i="2"/>
  <c r="O43" i="2"/>
  <c r="O2" i="2"/>
  <c r="G12" i="4"/>
  <c r="G10" i="4"/>
  <c r="G8" i="4"/>
  <c r="G6" i="4"/>
  <c r="G4" i="4"/>
  <c r="G2" i="4"/>
  <c r="G12" i="3"/>
  <c r="G10" i="3"/>
  <c r="G8" i="3"/>
  <c r="G6" i="3"/>
  <c r="G4" i="3"/>
  <c r="G2" i="3"/>
  <c r="N7" i="4"/>
  <c r="M7" i="4"/>
  <c r="N6" i="4"/>
  <c r="M6" i="4"/>
  <c r="N5" i="4"/>
  <c r="M5" i="4"/>
  <c r="N4" i="4"/>
  <c r="M4" i="4"/>
  <c r="N3" i="4"/>
  <c r="M3" i="4"/>
  <c r="N2" i="4"/>
  <c r="M2" i="4"/>
  <c r="N7" i="3"/>
  <c r="M7" i="3"/>
  <c r="N6" i="3"/>
  <c r="M6" i="3"/>
  <c r="N5" i="3"/>
  <c r="M5" i="3"/>
  <c r="N4" i="3"/>
  <c r="M4" i="3"/>
  <c r="N3" i="3"/>
  <c r="M3" i="3"/>
  <c r="N2" i="3"/>
  <c r="M2" i="3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H122" i="1"/>
  <c r="I122" i="1" s="1"/>
  <c r="H76" i="1"/>
  <c r="I7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3" i="1"/>
  <c r="I3" i="1" s="1"/>
  <c r="H4" i="1"/>
  <c r="I4" i="1" s="1"/>
  <c r="H5" i="1"/>
  <c r="I5" i="1" s="1"/>
  <c r="H6" i="1"/>
  <c r="I6" i="1" s="1"/>
  <c r="H2" i="1"/>
  <c r="I2" i="1" s="1"/>
</calcChain>
</file>

<file path=xl/sharedStrings.xml><?xml version="1.0" encoding="utf-8"?>
<sst xmlns="http://schemas.openxmlformats.org/spreadsheetml/2006/main" count="1562" uniqueCount="359">
  <si>
    <t>Cross</t>
  </si>
  <si>
    <t>Well</t>
  </si>
  <si>
    <t>eggs</t>
  </si>
  <si>
    <t>larvae</t>
  </si>
  <si>
    <t>Plate</t>
  </si>
  <si>
    <t>SDAxSDA</t>
  </si>
  <si>
    <t>A</t>
  </si>
  <si>
    <t>B</t>
  </si>
  <si>
    <t>C1</t>
  </si>
  <si>
    <t>B1</t>
  </si>
  <si>
    <t>A1</t>
  </si>
  <si>
    <t>C2</t>
  </si>
  <si>
    <t>B2</t>
  </si>
  <si>
    <t>A2</t>
  </si>
  <si>
    <t>C3</t>
  </si>
  <si>
    <t>B3</t>
  </si>
  <si>
    <t>A3</t>
  </si>
  <si>
    <t>C4</t>
  </si>
  <si>
    <t>B4</t>
  </si>
  <si>
    <t>A4</t>
  </si>
  <si>
    <t>_</t>
  </si>
  <si>
    <t>C</t>
  </si>
  <si>
    <t>D</t>
  </si>
  <si>
    <t>E</t>
  </si>
  <si>
    <t>CdKO(het)xSDA</t>
  </si>
  <si>
    <t>SDAxCdKO(het)</t>
  </si>
  <si>
    <t>CdKO(hom)xSDA</t>
  </si>
  <si>
    <t>SDAxCdKO(hom)</t>
  </si>
  <si>
    <t>Blood fed per replicate</t>
  </si>
  <si>
    <t>num per replicate</t>
  </si>
  <si>
    <t>Percentage death after blood feeding per replicate</t>
  </si>
  <si>
    <t>Percentage hatch rate</t>
  </si>
  <si>
    <t>Replicate</t>
  </si>
  <si>
    <t>Female death</t>
  </si>
  <si>
    <t>Females engorged</t>
  </si>
  <si>
    <t>1+c1</t>
  </si>
  <si>
    <t>WTxSDA</t>
  </si>
  <si>
    <t>1+b1</t>
  </si>
  <si>
    <t>1+a1</t>
  </si>
  <si>
    <t>1+c2</t>
  </si>
  <si>
    <t>1+b2</t>
  </si>
  <si>
    <t>1+a2</t>
  </si>
  <si>
    <t>1+c3</t>
  </si>
  <si>
    <t>1+b3</t>
  </si>
  <si>
    <t>1+a3</t>
  </si>
  <si>
    <t>1+c4</t>
  </si>
  <si>
    <t>1+b4</t>
  </si>
  <si>
    <t>1+a4</t>
  </si>
  <si>
    <t>2+c1</t>
  </si>
  <si>
    <t>2+b1</t>
  </si>
  <si>
    <t>2+a1</t>
  </si>
  <si>
    <t>2+c2</t>
  </si>
  <si>
    <t>2+b2</t>
  </si>
  <si>
    <t>2+a2</t>
  </si>
  <si>
    <t>2+c3</t>
  </si>
  <si>
    <t>2+b3</t>
  </si>
  <si>
    <t>2+a3</t>
  </si>
  <si>
    <t>2+c4</t>
  </si>
  <si>
    <t>2+b4</t>
  </si>
  <si>
    <t>2+a4</t>
  </si>
  <si>
    <t>N/A</t>
  </si>
  <si>
    <t>3+c1</t>
  </si>
  <si>
    <t>3+b1</t>
  </si>
  <si>
    <t>3+a1</t>
  </si>
  <si>
    <t>3+c2</t>
  </si>
  <si>
    <t>3+b2</t>
  </si>
  <si>
    <t>3+a2</t>
  </si>
  <si>
    <t>3+c3</t>
  </si>
  <si>
    <t>3+b3</t>
  </si>
  <si>
    <t>3+a3</t>
  </si>
  <si>
    <t>3+c4</t>
  </si>
  <si>
    <t>3+b4</t>
  </si>
  <si>
    <t>3+a4</t>
  </si>
  <si>
    <t>4+c1</t>
  </si>
  <si>
    <t>4+b1</t>
  </si>
  <si>
    <t>4+a1</t>
  </si>
  <si>
    <t>4+c2</t>
  </si>
  <si>
    <t>4+b2</t>
  </si>
  <si>
    <t>4+a2</t>
  </si>
  <si>
    <t>SDAxWT</t>
  </si>
  <si>
    <t>4+c3</t>
  </si>
  <si>
    <t>4+b3</t>
  </si>
  <si>
    <t>4+a3</t>
  </si>
  <si>
    <t>4+c4</t>
  </si>
  <si>
    <t>4+b4</t>
  </si>
  <si>
    <t>4+a4</t>
  </si>
  <si>
    <t>5+c1</t>
  </si>
  <si>
    <t>5+b1</t>
  </si>
  <si>
    <t>5+a1</t>
  </si>
  <si>
    <t>5+c2</t>
  </si>
  <si>
    <t>5+b2</t>
  </si>
  <si>
    <t>5+a2</t>
  </si>
  <si>
    <t>5+c3</t>
  </si>
  <si>
    <t>5+b3</t>
  </si>
  <si>
    <t>5+a3</t>
  </si>
  <si>
    <t>5+c4</t>
  </si>
  <si>
    <t>5+b4</t>
  </si>
  <si>
    <t>5+a4</t>
  </si>
  <si>
    <t>6+c1</t>
  </si>
  <si>
    <t>6+b1</t>
  </si>
  <si>
    <t>6+a1</t>
  </si>
  <si>
    <t>6+c2</t>
  </si>
  <si>
    <t>6+b2</t>
  </si>
  <si>
    <t>6+a2</t>
  </si>
  <si>
    <t>6+c3</t>
  </si>
  <si>
    <t>6+b3</t>
  </si>
  <si>
    <t>6+a3</t>
  </si>
  <si>
    <t>6+c4</t>
  </si>
  <si>
    <t>7+c1</t>
  </si>
  <si>
    <t>7+b1</t>
  </si>
  <si>
    <t>7+a1</t>
  </si>
  <si>
    <t>7+c2</t>
  </si>
  <si>
    <t>7+b2</t>
  </si>
  <si>
    <t>7+a2</t>
  </si>
  <si>
    <t>HETxSDA</t>
  </si>
  <si>
    <t>7+c3</t>
  </si>
  <si>
    <t>7+b3</t>
  </si>
  <si>
    <t>7+a3</t>
  </si>
  <si>
    <t>7+c4</t>
  </si>
  <si>
    <t>7+b4</t>
  </si>
  <si>
    <t>7+a4</t>
  </si>
  <si>
    <t>8+c1</t>
  </si>
  <si>
    <t>8+b1</t>
  </si>
  <si>
    <t>8+a1</t>
  </si>
  <si>
    <t>8+c2</t>
  </si>
  <si>
    <t>8+b2</t>
  </si>
  <si>
    <t>8+a2</t>
  </si>
  <si>
    <t>8+c3</t>
  </si>
  <si>
    <t>8+b3</t>
  </si>
  <si>
    <t>8+a3</t>
  </si>
  <si>
    <t>8+c4</t>
  </si>
  <si>
    <t>8+b4</t>
  </si>
  <si>
    <t>8+a4</t>
  </si>
  <si>
    <t>9+c1</t>
  </si>
  <si>
    <t>9+b1</t>
  </si>
  <si>
    <t>9+a1</t>
  </si>
  <si>
    <t>9+c2</t>
  </si>
  <si>
    <t>9+b2</t>
  </si>
  <si>
    <t>9+a2</t>
  </si>
  <si>
    <t>9+c3</t>
  </si>
  <si>
    <t>9+b3</t>
  </si>
  <si>
    <t>9+a3</t>
  </si>
  <si>
    <t>9+c4</t>
  </si>
  <si>
    <t>10+c1</t>
  </si>
  <si>
    <t>10+b1</t>
  </si>
  <si>
    <t>10+a1</t>
  </si>
  <si>
    <t>10+c2</t>
  </si>
  <si>
    <t>10+b2</t>
  </si>
  <si>
    <t>10+a2</t>
  </si>
  <si>
    <t>10+c3</t>
  </si>
  <si>
    <t>10+b3</t>
  </si>
  <si>
    <t>10+a3</t>
  </si>
  <si>
    <t>10+c4</t>
  </si>
  <si>
    <t>10+b4</t>
  </si>
  <si>
    <t>10+a4</t>
  </si>
  <si>
    <t>11+c1</t>
  </si>
  <si>
    <t>11+b1</t>
  </si>
  <si>
    <t>11+a1</t>
  </si>
  <si>
    <t>11+c2</t>
  </si>
  <si>
    <t>11+b2</t>
  </si>
  <si>
    <t>11+a2</t>
  </si>
  <si>
    <t>11+c3</t>
  </si>
  <si>
    <t>11+b3</t>
  </si>
  <si>
    <t>SDAxHET</t>
  </si>
  <si>
    <t>0+1</t>
  </si>
  <si>
    <t>11+a3</t>
  </si>
  <si>
    <t>11+c4</t>
  </si>
  <si>
    <t>11+b4</t>
  </si>
  <si>
    <t>11+a4</t>
  </si>
  <si>
    <t>12+c1</t>
  </si>
  <si>
    <t>12+b1</t>
  </si>
  <si>
    <t>12+a1</t>
  </si>
  <si>
    <t>12+c2</t>
  </si>
  <si>
    <t>12+b2</t>
  </si>
  <si>
    <t>12+a2</t>
  </si>
  <si>
    <t>12+c3</t>
  </si>
  <si>
    <t>12+b3</t>
  </si>
  <si>
    <t>12+a3</t>
  </si>
  <si>
    <t>12+c4</t>
  </si>
  <si>
    <t>12+b4</t>
  </si>
  <si>
    <t>12+a4</t>
  </si>
  <si>
    <t>13+c1</t>
  </si>
  <si>
    <t>13+b1</t>
  </si>
  <si>
    <t>13+a1</t>
  </si>
  <si>
    <t>13+c2</t>
  </si>
  <si>
    <t>13+b2</t>
  </si>
  <si>
    <t>13+a2</t>
  </si>
  <si>
    <t>13+c3</t>
  </si>
  <si>
    <t>13+b3</t>
  </si>
  <si>
    <t>13+a3</t>
  </si>
  <si>
    <t>14+c1</t>
  </si>
  <si>
    <t>5 males added</t>
  </si>
  <si>
    <t>4+1</t>
  </si>
  <si>
    <t>14+b1</t>
  </si>
  <si>
    <t>14+a1</t>
  </si>
  <si>
    <t>14+c2</t>
  </si>
  <si>
    <t>14+b2</t>
  </si>
  <si>
    <t>14+a2</t>
  </si>
  <si>
    <t>Remade</t>
  </si>
  <si>
    <t>14+c3</t>
  </si>
  <si>
    <t>14+b3</t>
  </si>
  <si>
    <t>14+a3</t>
  </si>
  <si>
    <t>14+c4</t>
  </si>
  <si>
    <t>14+b4</t>
  </si>
  <si>
    <t>14+a4</t>
  </si>
  <si>
    <t>15+c1</t>
  </si>
  <si>
    <t>16+c1</t>
  </si>
  <si>
    <t>HOMxSDA</t>
  </si>
  <si>
    <t>16+b1</t>
  </si>
  <si>
    <t>16+a1</t>
  </si>
  <si>
    <t>16+c2</t>
  </si>
  <si>
    <t>16+b2</t>
  </si>
  <si>
    <t>16+a2</t>
  </si>
  <si>
    <t>17+b4</t>
  </si>
  <si>
    <t>17+a4</t>
  </si>
  <si>
    <t>17+b1</t>
  </si>
  <si>
    <t>17+a1</t>
  </si>
  <si>
    <t>17+c2</t>
  </si>
  <si>
    <t>17+b2</t>
  </si>
  <si>
    <t>17+a2</t>
  </si>
  <si>
    <t>17+c3</t>
  </si>
  <si>
    <t>17+b3</t>
  </si>
  <si>
    <t>17+a3</t>
  </si>
  <si>
    <t>17+c4</t>
  </si>
  <si>
    <t>18+c2</t>
  </si>
  <si>
    <t>18+b2</t>
  </si>
  <si>
    <t>18+a2</t>
  </si>
  <si>
    <t>18+c3</t>
  </si>
  <si>
    <t>18+b3</t>
  </si>
  <si>
    <t>18+a3</t>
  </si>
  <si>
    <t>18+c4</t>
  </si>
  <si>
    <t>18+b4</t>
  </si>
  <si>
    <t>18+a4</t>
  </si>
  <si>
    <t>19+c4</t>
  </si>
  <si>
    <t>19+b4</t>
  </si>
  <si>
    <t>19+a4</t>
  </si>
  <si>
    <t>19+b1</t>
  </si>
  <si>
    <t>19+a1</t>
  </si>
  <si>
    <t>19+c2</t>
  </si>
  <si>
    <t>19+b2</t>
  </si>
  <si>
    <t>19+a2</t>
  </si>
  <si>
    <t>19+c3</t>
  </si>
  <si>
    <t>19+b3</t>
  </si>
  <si>
    <t>19+a3</t>
  </si>
  <si>
    <t>20+a3</t>
  </si>
  <si>
    <t>SDAxHOM</t>
  </si>
  <si>
    <t>20+c4</t>
  </si>
  <si>
    <t>20+b4</t>
  </si>
  <si>
    <t>MWE (majority white eggs)</t>
  </si>
  <si>
    <t>20+a4</t>
  </si>
  <si>
    <t>20+c1</t>
  </si>
  <si>
    <t>MWE</t>
  </si>
  <si>
    <t>20+b1</t>
  </si>
  <si>
    <t>20+a1</t>
  </si>
  <si>
    <t>20+c2</t>
  </si>
  <si>
    <t>20+b2</t>
  </si>
  <si>
    <t>20+a2</t>
  </si>
  <si>
    <t>20+c3</t>
  </si>
  <si>
    <t>20+b3</t>
  </si>
  <si>
    <t>21+a2</t>
  </si>
  <si>
    <t>21+c3</t>
  </si>
  <si>
    <t>21+b3</t>
  </si>
  <si>
    <t>21+a3</t>
  </si>
  <si>
    <t>21+c4</t>
  </si>
  <si>
    <t>21+b4</t>
  </si>
  <si>
    <t>21+a4</t>
  </si>
  <si>
    <t>21+a1</t>
  </si>
  <si>
    <t>21+c2</t>
  </si>
  <si>
    <t>21+b2</t>
  </si>
  <si>
    <t>16+a4</t>
  </si>
  <si>
    <t>16+c3</t>
  </si>
  <si>
    <t>5+1</t>
  </si>
  <si>
    <t>16+b3</t>
  </si>
  <si>
    <t>16+a3</t>
  </si>
  <si>
    <t>16+c4</t>
  </si>
  <si>
    <t>16+b4</t>
  </si>
  <si>
    <t>Genotype</t>
  </si>
  <si>
    <t>Tray</t>
  </si>
  <si>
    <t>Sex</t>
  </si>
  <si>
    <t>Larvae</t>
  </si>
  <si>
    <t>Pupae</t>
  </si>
  <si>
    <t>Adults</t>
  </si>
  <si>
    <t>Means</t>
  </si>
  <si>
    <t>adults</t>
  </si>
  <si>
    <t>SDA-500</t>
  </si>
  <si>
    <t>male</t>
  </si>
  <si>
    <t>SDA-500 male</t>
  </si>
  <si>
    <t>female</t>
  </si>
  <si>
    <t>SDA-500 female</t>
  </si>
  <si>
    <t>HET male</t>
  </si>
  <si>
    <t>HET female</t>
  </si>
  <si>
    <t>CdKO Het</t>
  </si>
  <si>
    <t>HOM male</t>
  </si>
  <si>
    <t>HOM female</t>
  </si>
  <si>
    <t>CdKO Hom</t>
  </si>
  <si>
    <t>Adult</t>
  </si>
  <si>
    <t>WT</t>
  </si>
  <si>
    <t>Male</t>
  </si>
  <si>
    <t>WT male</t>
  </si>
  <si>
    <t>Female</t>
  </si>
  <si>
    <t>WT female</t>
  </si>
  <si>
    <t>HET</t>
  </si>
  <si>
    <t>HOM</t>
  </si>
  <si>
    <t>Engorgement rate</t>
  </si>
  <si>
    <t>Survival rate post BF</t>
  </si>
  <si>
    <t>35/50</t>
  </si>
  <si>
    <t>39/50</t>
  </si>
  <si>
    <t>29/50</t>
  </si>
  <si>
    <t>46/50**</t>
  </si>
  <si>
    <t>43/50</t>
  </si>
  <si>
    <t>41/50</t>
  </si>
  <si>
    <t>48/50</t>
  </si>
  <si>
    <t>50/50*</t>
  </si>
  <si>
    <t>49/50*</t>
  </si>
  <si>
    <t>27/35</t>
  </si>
  <si>
    <t>32/39</t>
  </si>
  <si>
    <t>19/29</t>
  </si>
  <si>
    <t>32/35</t>
  </si>
  <si>
    <t>41/43</t>
  </si>
  <si>
    <t>37/41</t>
  </si>
  <si>
    <t>34/41</t>
  </si>
  <si>
    <t>37/48</t>
  </si>
  <si>
    <t>44/46*</t>
  </si>
  <si>
    <t>27/49**</t>
  </si>
  <si>
    <t>SDA500 X SDA500</t>
  </si>
  <si>
    <t>Cross (♀ X ♂)</t>
  </si>
  <si>
    <r>
      <t>SDA500 X WT</t>
    </r>
    <r>
      <rPr>
        <sz val="10"/>
        <color theme="1"/>
        <rFont val="Calibri"/>
        <family val="2"/>
      </rPr>
      <t>†</t>
    </r>
  </si>
  <si>
    <t>SDA500 X Het</t>
  </si>
  <si>
    <t>SDA500 X Hom</t>
  </si>
  <si>
    <t>Het X SDA500</t>
  </si>
  <si>
    <t>†WT X SDA500</t>
  </si>
  <si>
    <t>Hom X SDA500</t>
  </si>
  <si>
    <t>knock-out</t>
  </si>
  <si>
    <t>knock-in</t>
  </si>
  <si>
    <t>n.d.</t>
  </si>
  <si>
    <t>25/27</t>
  </si>
  <si>
    <t>29/32</t>
  </si>
  <si>
    <t>17/19</t>
  </si>
  <si>
    <t>41/44</t>
  </si>
  <si>
    <t>39/41</t>
  </si>
  <si>
    <t>41/48</t>
  </si>
  <si>
    <t>33/34</t>
  </si>
  <si>
    <t>32/37</t>
  </si>
  <si>
    <t>22/27</t>
  </si>
  <si>
    <t>22/32*</t>
  </si>
  <si>
    <t>13/37****</t>
  </si>
  <si>
    <t>Egg laying rate (excludes dead females)</t>
  </si>
  <si>
    <t>Hatch success rate</t>
  </si>
  <si>
    <t>24/25</t>
  </si>
  <si>
    <t>29/29</t>
  </si>
  <si>
    <t>17/17</t>
  </si>
  <si>
    <t>40/41</t>
  </si>
  <si>
    <t>22/22</t>
  </si>
  <si>
    <t>37/39</t>
  </si>
  <si>
    <t>33/33</t>
  </si>
  <si>
    <t>32/32</t>
  </si>
  <si>
    <t>13/22****</t>
  </si>
  <si>
    <t>11/13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</si>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</sst>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98E3-7F3D-4DAE-9595-9A60F08132A9}">
  <dimension ref="A1:N13"/>
  <sheetViews>
    <sheetView workbookViewId="0">
      <selection activeCell="N8" sqref="N8"/>
    </sheetView>
  </sheetViews>
  <sheetFormatPr defaultRowHeight="14.5" x14ac:dyDescent="0.35"/>
  <sheetData>
    <row r="1" spans="1:14" x14ac:dyDescent="0.35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J1" s="1" t="s">
        <v>282</v>
      </c>
      <c r="M1" t="s">
        <v>280</v>
      </c>
      <c r="N1" t="s">
        <v>283</v>
      </c>
    </row>
    <row r="2" spans="1:14" x14ac:dyDescent="0.35">
      <c r="A2" t="s">
        <v>284</v>
      </c>
      <c r="B2">
        <v>6</v>
      </c>
      <c r="C2" t="s">
        <v>285</v>
      </c>
      <c r="D2">
        <v>200</v>
      </c>
      <c r="E2">
        <v>101</v>
      </c>
      <c r="F2">
        <v>100</v>
      </c>
      <c r="G2">
        <f>SUM(F2:F3)</f>
        <v>192</v>
      </c>
      <c r="J2" t="s">
        <v>286</v>
      </c>
      <c r="M2">
        <f>(E2+E4)/2</f>
        <v>104.5</v>
      </c>
      <c r="N2">
        <f>(F2+F4)/2</f>
        <v>104</v>
      </c>
    </row>
    <row r="3" spans="1:14" x14ac:dyDescent="0.35">
      <c r="A3" t="s">
        <v>284</v>
      </c>
      <c r="B3">
        <v>6</v>
      </c>
      <c r="C3" t="s">
        <v>287</v>
      </c>
      <c r="D3">
        <v>200</v>
      </c>
      <c r="E3">
        <v>93</v>
      </c>
      <c r="F3">
        <v>92</v>
      </c>
      <c r="J3" t="s">
        <v>288</v>
      </c>
      <c r="M3">
        <f>(E3+E5)/2</f>
        <v>89</v>
      </c>
      <c r="N3">
        <f>(F3+F5)/2</f>
        <v>88</v>
      </c>
    </row>
    <row r="4" spans="1:14" x14ac:dyDescent="0.35">
      <c r="A4" t="s">
        <v>284</v>
      </c>
      <c r="B4">
        <v>5</v>
      </c>
      <c r="C4" t="s">
        <v>285</v>
      </c>
      <c r="D4">
        <v>200</v>
      </c>
      <c r="E4">
        <v>108</v>
      </c>
      <c r="F4">
        <v>108</v>
      </c>
      <c r="G4">
        <f>SUM(F4:F5)</f>
        <v>192</v>
      </c>
      <c r="J4" t="s">
        <v>289</v>
      </c>
      <c r="M4">
        <f>(E6+E8)/2</f>
        <v>98</v>
      </c>
      <c r="N4">
        <f>(F6+F8)/2</f>
        <v>97.5</v>
      </c>
    </row>
    <row r="5" spans="1:14" x14ac:dyDescent="0.35">
      <c r="A5" t="s">
        <v>284</v>
      </c>
      <c r="B5">
        <v>5</v>
      </c>
      <c r="C5" t="s">
        <v>287</v>
      </c>
      <c r="D5">
        <v>200</v>
      </c>
      <c r="E5">
        <v>85</v>
      </c>
      <c r="F5">
        <v>84</v>
      </c>
      <c r="J5" t="s">
        <v>290</v>
      </c>
      <c r="M5">
        <f>(E7+E9)/2</f>
        <v>91</v>
      </c>
      <c r="N5">
        <f>(F7+F9)/2</f>
        <v>90.5</v>
      </c>
    </row>
    <row r="6" spans="1:14" x14ac:dyDescent="0.35">
      <c r="A6" t="s">
        <v>291</v>
      </c>
      <c r="B6">
        <v>4</v>
      </c>
      <c r="C6" t="s">
        <v>285</v>
      </c>
      <c r="D6">
        <v>200</v>
      </c>
      <c r="E6">
        <v>92</v>
      </c>
      <c r="F6">
        <v>91</v>
      </c>
      <c r="G6">
        <f>SUM(F6:F7)</f>
        <v>186</v>
      </c>
      <c r="J6" t="s">
        <v>292</v>
      </c>
      <c r="M6">
        <f>(E10+E12)/2</f>
        <v>91</v>
      </c>
      <c r="N6">
        <f>(F10+F12)/2</f>
        <v>90.5</v>
      </c>
    </row>
    <row r="7" spans="1:14" x14ac:dyDescent="0.35">
      <c r="A7" t="s">
        <v>291</v>
      </c>
      <c r="B7">
        <v>4</v>
      </c>
      <c r="C7" t="s">
        <v>287</v>
      </c>
      <c r="D7">
        <v>200</v>
      </c>
      <c r="E7">
        <v>95</v>
      </c>
      <c r="F7">
        <v>95</v>
      </c>
      <c r="J7" t="s">
        <v>293</v>
      </c>
      <c r="M7">
        <f>(E11+E13)/2</f>
        <v>101</v>
      </c>
      <c r="N7">
        <f>(F11+F13)/2</f>
        <v>100.5</v>
      </c>
    </row>
    <row r="8" spans="1:14" x14ac:dyDescent="0.35">
      <c r="A8" t="s">
        <v>291</v>
      </c>
      <c r="B8">
        <v>3</v>
      </c>
      <c r="C8" t="s">
        <v>285</v>
      </c>
      <c r="D8">
        <v>200</v>
      </c>
      <c r="E8">
        <v>104</v>
      </c>
      <c r="F8">
        <v>104</v>
      </c>
      <c r="G8">
        <f>SUM(F8:F9)</f>
        <v>190</v>
      </c>
    </row>
    <row r="9" spans="1:14" x14ac:dyDescent="0.35">
      <c r="A9" t="s">
        <v>291</v>
      </c>
      <c r="B9">
        <v>3</v>
      </c>
      <c r="C9" t="s">
        <v>287</v>
      </c>
      <c r="D9">
        <v>200</v>
      </c>
      <c r="E9">
        <v>87</v>
      </c>
      <c r="F9">
        <v>86</v>
      </c>
    </row>
    <row r="10" spans="1:14" x14ac:dyDescent="0.35">
      <c r="A10" t="s">
        <v>294</v>
      </c>
      <c r="B10">
        <v>2</v>
      </c>
      <c r="C10" t="s">
        <v>285</v>
      </c>
      <c r="D10">
        <v>200</v>
      </c>
      <c r="E10">
        <v>94</v>
      </c>
      <c r="F10">
        <v>94</v>
      </c>
      <c r="G10">
        <f>SUM(F10:F11)</f>
        <v>200</v>
      </c>
    </row>
    <row r="11" spans="1:14" x14ac:dyDescent="0.35">
      <c r="A11" t="s">
        <v>294</v>
      </c>
      <c r="B11">
        <v>2</v>
      </c>
      <c r="C11" t="s">
        <v>287</v>
      </c>
      <c r="D11">
        <v>200</v>
      </c>
      <c r="E11">
        <v>106</v>
      </c>
      <c r="F11">
        <v>106</v>
      </c>
    </row>
    <row r="12" spans="1:14" x14ac:dyDescent="0.35">
      <c r="A12" t="s">
        <v>294</v>
      </c>
      <c r="B12">
        <v>1</v>
      </c>
      <c r="C12" t="s">
        <v>285</v>
      </c>
      <c r="D12">
        <v>200</v>
      </c>
      <c r="E12">
        <v>88</v>
      </c>
      <c r="F12">
        <v>87</v>
      </c>
      <c r="G12">
        <f>SUM(F12:F13)</f>
        <v>182</v>
      </c>
    </row>
    <row r="13" spans="1:14" x14ac:dyDescent="0.35">
      <c r="A13" t="s">
        <v>294</v>
      </c>
      <c r="B13">
        <v>1</v>
      </c>
      <c r="C13" t="s">
        <v>287</v>
      </c>
      <c r="D13">
        <v>200</v>
      </c>
      <c r="E13">
        <v>96</v>
      </c>
      <c r="F13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D463-0AE2-4330-A755-79F276D95D62}">
  <dimension ref="A1:Q185"/>
  <sheetViews>
    <sheetView workbookViewId="0">
      <selection activeCell="F1" sqref="F1:F1048576"/>
    </sheetView>
  </sheetViews>
  <sheetFormatPr defaultRowHeight="14.5" x14ac:dyDescent="0.35"/>
  <cols>
    <col min="2" max="2" width="14.453125" bestFit="1" customWidth="1"/>
  </cols>
  <sheetData>
    <row r="1" spans="1:17" x14ac:dyDescent="0.35">
      <c r="A1" t="s">
        <v>4</v>
      </c>
      <c r="B1" t="s">
        <v>0</v>
      </c>
      <c r="C1" t="s">
        <v>32</v>
      </c>
      <c r="D1" t="s">
        <v>1</v>
      </c>
      <c r="E1" t="s">
        <v>2</v>
      </c>
      <c r="F1" t="s">
        <v>3</v>
      </c>
      <c r="H1" t="s">
        <v>31</v>
      </c>
      <c r="K1" t="s">
        <v>29</v>
      </c>
      <c r="N1" t="s">
        <v>28</v>
      </c>
      <c r="Q1" t="s">
        <v>30</v>
      </c>
    </row>
    <row r="2" spans="1:17" x14ac:dyDescent="0.35">
      <c r="A2">
        <v>1</v>
      </c>
      <c r="B2" t="s">
        <v>5</v>
      </c>
      <c r="C2" t="s">
        <v>6</v>
      </c>
      <c r="D2" t="s">
        <v>8</v>
      </c>
      <c r="E2">
        <v>15</v>
      </c>
      <c r="F2">
        <v>12</v>
      </c>
      <c r="H2">
        <f>F2/E2*100</f>
        <v>80</v>
      </c>
      <c r="I2">
        <f>H2*-1</f>
        <v>-80</v>
      </c>
      <c r="K2">
        <v>6</v>
      </c>
      <c r="N2">
        <v>9</v>
      </c>
      <c r="Q2">
        <v>30</v>
      </c>
    </row>
    <row r="3" spans="1:17" x14ac:dyDescent="0.35">
      <c r="A3">
        <v>1</v>
      </c>
      <c r="B3" t="s">
        <v>5</v>
      </c>
      <c r="C3" t="s">
        <v>6</v>
      </c>
      <c r="D3" t="s">
        <v>9</v>
      </c>
      <c r="E3">
        <v>39</v>
      </c>
      <c r="F3">
        <v>23</v>
      </c>
      <c r="H3">
        <f>F3/E3*100</f>
        <v>58.974358974358978</v>
      </c>
      <c r="I3">
        <f t="shared" ref="I3:I66" si="0">H3*-1</f>
        <v>-58.974358974358978</v>
      </c>
    </row>
    <row r="4" spans="1:17" x14ac:dyDescent="0.35">
      <c r="A4">
        <v>1</v>
      </c>
      <c r="B4" t="s">
        <v>5</v>
      </c>
      <c r="C4" t="s">
        <v>6</v>
      </c>
      <c r="D4" t="s">
        <v>10</v>
      </c>
      <c r="E4">
        <v>151</v>
      </c>
      <c r="F4">
        <v>136</v>
      </c>
      <c r="H4">
        <f>F4/E4*100</f>
        <v>90.066225165562912</v>
      </c>
      <c r="I4">
        <f t="shared" si="0"/>
        <v>-90.066225165562912</v>
      </c>
    </row>
    <row r="5" spans="1:17" x14ac:dyDescent="0.35">
      <c r="A5">
        <v>1</v>
      </c>
      <c r="B5" t="s">
        <v>5</v>
      </c>
      <c r="C5" t="s">
        <v>6</v>
      </c>
      <c r="D5" t="s">
        <v>11</v>
      </c>
      <c r="E5">
        <v>179</v>
      </c>
      <c r="F5">
        <v>158</v>
      </c>
      <c r="H5">
        <f>F5/E5*100</f>
        <v>88.268156424581008</v>
      </c>
      <c r="I5">
        <f t="shared" si="0"/>
        <v>-88.268156424581008</v>
      </c>
    </row>
    <row r="6" spans="1:17" x14ac:dyDescent="0.35">
      <c r="A6">
        <v>1</v>
      </c>
      <c r="B6" t="s">
        <v>5</v>
      </c>
      <c r="C6" t="s">
        <v>6</v>
      </c>
      <c r="D6" t="s">
        <v>12</v>
      </c>
      <c r="E6">
        <v>44</v>
      </c>
      <c r="F6">
        <v>19</v>
      </c>
      <c r="H6">
        <f>F6/E6*100</f>
        <v>43.18181818181818</v>
      </c>
      <c r="I6">
        <f t="shared" si="0"/>
        <v>-43.18181818181818</v>
      </c>
    </row>
    <row r="7" spans="1:17" x14ac:dyDescent="0.35">
      <c r="A7">
        <v>1</v>
      </c>
      <c r="B7" t="s">
        <v>5</v>
      </c>
      <c r="C7" t="s">
        <v>6</v>
      </c>
      <c r="D7" t="s">
        <v>13</v>
      </c>
      <c r="E7">
        <v>35</v>
      </c>
      <c r="F7">
        <v>29</v>
      </c>
      <c r="H7">
        <f>F7/E7*100</f>
        <v>82.857142857142861</v>
      </c>
      <c r="I7">
        <f t="shared" si="0"/>
        <v>-82.857142857142861</v>
      </c>
    </row>
    <row r="8" spans="1:17" x14ac:dyDescent="0.35">
      <c r="A8">
        <v>1</v>
      </c>
      <c r="B8" t="s">
        <v>5</v>
      </c>
      <c r="C8" t="s">
        <v>7</v>
      </c>
      <c r="D8" t="s">
        <v>14</v>
      </c>
      <c r="E8">
        <v>75</v>
      </c>
      <c r="F8">
        <v>68</v>
      </c>
      <c r="H8">
        <f>F8/E8*100</f>
        <v>90.666666666666657</v>
      </c>
      <c r="I8">
        <f t="shared" si="0"/>
        <v>-90.666666666666657</v>
      </c>
      <c r="K8">
        <v>8</v>
      </c>
      <c r="N8">
        <v>8</v>
      </c>
      <c r="Q8">
        <v>10</v>
      </c>
    </row>
    <row r="9" spans="1:17" x14ac:dyDescent="0.35">
      <c r="A9">
        <v>1</v>
      </c>
      <c r="B9" t="s">
        <v>5</v>
      </c>
      <c r="C9" t="s">
        <v>7</v>
      </c>
      <c r="D9" t="s">
        <v>15</v>
      </c>
      <c r="E9">
        <v>21</v>
      </c>
      <c r="F9">
        <v>16</v>
      </c>
      <c r="H9">
        <f>F9/E9*100</f>
        <v>76.19047619047619</v>
      </c>
      <c r="I9">
        <f t="shared" si="0"/>
        <v>-76.19047619047619</v>
      </c>
    </row>
    <row r="10" spans="1:17" x14ac:dyDescent="0.35">
      <c r="A10">
        <v>1</v>
      </c>
      <c r="B10" t="s">
        <v>5</v>
      </c>
      <c r="C10" t="s">
        <v>7</v>
      </c>
      <c r="D10" t="s">
        <v>16</v>
      </c>
      <c r="E10">
        <v>45</v>
      </c>
      <c r="F10">
        <v>41</v>
      </c>
      <c r="H10">
        <f>F10/E10*100</f>
        <v>91.111111111111114</v>
      </c>
      <c r="I10">
        <f t="shared" si="0"/>
        <v>-91.111111111111114</v>
      </c>
    </row>
    <row r="11" spans="1:17" x14ac:dyDescent="0.35">
      <c r="A11">
        <v>1</v>
      </c>
      <c r="B11" t="s">
        <v>5</v>
      </c>
      <c r="C11" t="s">
        <v>7</v>
      </c>
      <c r="D11" t="s">
        <v>17</v>
      </c>
      <c r="E11">
        <v>0</v>
      </c>
      <c r="F11" t="s">
        <v>20</v>
      </c>
      <c r="H11" t="e">
        <f>F11/E11*100</f>
        <v>#VALUE!</v>
      </c>
      <c r="I11" t="e">
        <f t="shared" si="0"/>
        <v>#VALUE!</v>
      </c>
    </row>
    <row r="12" spans="1:17" x14ac:dyDescent="0.35">
      <c r="A12">
        <v>1</v>
      </c>
      <c r="B12" t="s">
        <v>5</v>
      </c>
      <c r="C12" t="s">
        <v>7</v>
      </c>
      <c r="D12" t="s">
        <v>18</v>
      </c>
      <c r="E12">
        <v>155</v>
      </c>
      <c r="F12">
        <v>153</v>
      </c>
      <c r="H12">
        <f>F12/E12*100</f>
        <v>98.709677419354833</v>
      </c>
      <c r="I12">
        <f t="shared" si="0"/>
        <v>-98.709677419354833</v>
      </c>
    </row>
    <row r="13" spans="1:17" x14ac:dyDescent="0.35">
      <c r="A13">
        <v>1</v>
      </c>
      <c r="B13" t="s">
        <v>5</v>
      </c>
      <c r="C13" t="s">
        <v>7</v>
      </c>
      <c r="D13" t="s">
        <v>19</v>
      </c>
      <c r="E13">
        <v>77</v>
      </c>
      <c r="F13">
        <v>75</v>
      </c>
      <c r="H13">
        <f>F13/E13*100</f>
        <v>97.402597402597408</v>
      </c>
      <c r="I13">
        <f t="shared" si="0"/>
        <v>-97.402597402597408</v>
      </c>
    </row>
    <row r="14" spans="1:17" x14ac:dyDescent="0.35">
      <c r="A14">
        <v>2</v>
      </c>
      <c r="B14" t="s">
        <v>5</v>
      </c>
      <c r="C14" t="s">
        <v>7</v>
      </c>
      <c r="D14" t="s">
        <v>8</v>
      </c>
      <c r="E14">
        <v>0</v>
      </c>
      <c r="F14" t="s">
        <v>20</v>
      </c>
      <c r="H14" t="e">
        <f>F14/E14*100</f>
        <v>#VALUE!</v>
      </c>
      <c r="I14" t="e">
        <f t="shared" si="0"/>
        <v>#VALUE!</v>
      </c>
    </row>
    <row r="15" spans="1:17" x14ac:dyDescent="0.35">
      <c r="A15">
        <v>2</v>
      </c>
      <c r="B15" t="s">
        <v>5</v>
      </c>
      <c r="C15" t="s">
        <v>7</v>
      </c>
      <c r="D15" t="s">
        <v>9</v>
      </c>
      <c r="E15">
        <v>61</v>
      </c>
      <c r="F15">
        <v>44</v>
      </c>
      <c r="H15">
        <f>F15/E15*100</f>
        <v>72.131147540983605</v>
      </c>
      <c r="I15">
        <f t="shared" si="0"/>
        <v>-72.131147540983605</v>
      </c>
    </row>
    <row r="16" spans="1:17" x14ac:dyDescent="0.35">
      <c r="A16">
        <v>2</v>
      </c>
      <c r="B16" t="s">
        <v>5</v>
      </c>
      <c r="C16" t="s">
        <v>21</v>
      </c>
      <c r="D16" t="s">
        <v>10</v>
      </c>
      <c r="E16">
        <v>51</v>
      </c>
      <c r="F16">
        <v>0</v>
      </c>
      <c r="H16">
        <f>F16/E16*100</f>
        <v>0</v>
      </c>
      <c r="I16">
        <f t="shared" si="0"/>
        <v>0</v>
      </c>
      <c r="K16">
        <v>7</v>
      </c>
      <c r="N16">
        <v>9</v>
      </c>
      <c r="Q16">
        <v>20</v>
      </c>
    </row>
    <row r="17" spans="1:17" x14ac:dyDescent="0.35">
      <c r="A17">
        <v>2</v>
      </c>
      <c r="B17" t="s">
        <v>5</v>
      </c>
      <c r="C17" t="s">
        <v>21</v>
      </c>
      <c r="D17" t="s">
        <v>11</v>
      </c>
      <c r="E17">
        <v>126</v>
      </c>
      <c r="F17">
        <v>101</v>
      </c>
      <c r="H17">
        <f>F17/E17*100</f>
        <v>80.158730158730165</v>
      </c>
      <c r="I17">
        <f t="shared" si="0"/>
        <v>-80.158730158730165</v>
      </c>
    </row>
    <row r="18" spans="1:17" x14ac:dyDescent="0.35">
      <c r="A18">
        <v>2</v>
      </c>
      <c r="B18" t="s">
        <v>5</v>
      </c>
      <c r="C18" t="s">
        <v>21</v>
      </c>
      <c r="D18" t="s">
        <v>12</v>
      </c>
      <c r="E18">
        <v>77</v>
      </c>
      <c r="F18">
        <v>72</v>
      </c>
      <c r="H18">
        <f>F18/E18*100</f>
        <v>93.506493506493499</v>
      </c>
      <c r="I18">
        <f t="shared" si="0"/>
        <v>-93.506493506493499</v>
      </c>
    </row>
    <row r="19" spans="1:17" x14ac:dyDescent="0.35">
      <c r="A19">
        <v>2</v>
      </c>
      <c r="B19" t="s">
        <v>5</v>
      </c>
      <c r="C19" t="s">
        <v>21</v>
      </c>
      <c r="D19" t="s">
        <v>13</v>
      </c>
      <c r="E19">
        <v>33</v>
      </c>
      <c r="F19">
        <v>23</v>
      </c>
      <c r="H19">
        <f>F19/E19*100</f>
        <v>69.696969696969703</v>
      </c>
      <c r="I19">
        <f t="shared" si="0"/>
        <v>-69.696969696969703</v>
      </c>
    </row>
    <row r="20" spans="1:17" x14ac:dyDescent="0.35">
      <c r="A20">
        <v>2</v>
      </c>
      <c r="B20" t="s">
        <v>5</v>
      </c>
      <c r="C20" t="s">
        <v>21</v>
      </c>
      <c r="D20" t="s">
        <v>14</v>
      </c>
      <c r="E20">
        <v>0</v>
      </c>
      <c r="F20" t="s">
        <v>20</v>
      </c>
      <c r="H20" t="e">
        <f>F20/E20*100</f>
        <v>#VALUE!</v>
      </c>
      <c r="I20" t="e">
        <f t="shared" si="0"/>
        <v>#VALUE!</v>
      </c>
    </row>
    <row r="21" spans="1:17" x14ac:dyDescent="0.35">
      <c r="A21">
        <v>2</v>
      </c>
      <c r="B21" t="s">
        <v>5</v>
      </c>
      <c r="C21" t="s">
        <v>21</v>
      </c>
      <c r="D21" t="s">
        <v>15</v>
      </c>
      <c r="E21">
        <v>117</v>
      </c>
      <c r="F21">
        <v>71</v>
      </c>
      <c r="H21">
        <f>F21/E21*100</f>
        <v>60.683760683760681</v>
      </c>
      <c r="I21">
        <f t="shared" si="0"/>
        <v>-60.683760683760681</v>
      </c>
    </row>
    <row r="22" spans="1:17" x14ac:dyDescent="0.35">
      <c r="A22">
        <v>2</v>
      </c>
      <c r="B22" t="s">
        <v>5</v>
      </c>
      <c r="C22" t="s">
        <v>21</v>
      </c>
      <c r="D22" t="s">
        <v>16</v>
      </c>
      <c r="E22">
        <v>0</v>
      </c>
      <c r="F22" t="s">
        <v>20</v>
      </c>
      <c r="H22" t="e">
        <f>F22/E22*100</f>
        <v>#VALUE!</v>
      </c>
      <c r="I22" t="e">
        <f t="shared" si="0"/>
        <v>#VALUE!</v>
      </c>
    </row>
    <row r="23" spans="1:17" x14ac:dyDescent="0.35">
      <c r="A23">
        <v>2</v>
      </c>
      <c r="B23" t="s">
        <v>5</v>
      </c>
      <c r="C23" t="s">
        <v>22</v>
      </c>
      <c r="D23" t="s">
        <v>17</v>
      </c>
      <c r="E23">
        <v>48</v>
      </c>
      <c r="F23">
        <v>41</v>
      </c>
      <c r="H23">
        <f>F23/E23*100</f>
        <v>85.416666666666657</v>
      </c>
      <c r="I23">
        <f t="shared" si="0"/>
        <v>-85.416666666666657</v>
      </c>
      <c r="K23">
        <v>9</v>
      </c>
      <c r="N23">
        <v>9</v>
      </c>
      <c r="Q23">
        <v>0</v>
      </c>
    </row>
    <row r="24" spans="1:17" x14ac:dyDescent="0.35">
      <c r="A24">
        <v>2</v>
      </c>
      <c r="B24" t="s">
        <v>5</v>
      </c>
      <c r="C24" t="s">
        <v>22</v>
      </c>
      <c r="D24" t="s">
        <v>18</v>
      </c>
      <c r="E24">
        <v>68</v>
      </c>
      <c r="F24">
        <v>56</v>
      </c>
      <c r="H24">
        <f>F24/E24*100</f>
        <v>82.35294117647058</v>
      </c>
      <c r="I24">
        <f t="shared" si="0"/>
        <v>-82.35294117647058</v>
      </c>
    </row>
    <row r="25" spans="1:17" x14ac:dyDescent="0.35">
      <c r="A25">
        <v>2</v>
      </c>
      <c r="B25" t="s">
        <v>5</v>
      </c>
      <c r="C25" t="s">
        <v>22</v>
      </c>
      <c r="D25" t="s">
        <v>19</v>
      </c>
      <c r="E25">
        <v>63</v>
      </c>
      <c r="F25">
        <v>48</v>
      </c>
      <c r="H25">
        <f>F25/E25*100</f>
        <v>76.19047619047619</v>
      </c>
      <c r="I25">
        <f t="shared" si="0"/>
        <v>-76.19047619047619</v>
      </c>
    </row>
    <row r="26" spans="1:17" x14ac:dyDescent="0.35">
      <c r="A26">
        <v>3</v>
      </c>
      <c r="B26" t="s">
        <v>5</v>
      </c>
      <c r="C26" t="s">
        <v>22</v>
      </c>
      <c r="D26" t="s">
        <v>8</v>
      </c>
      <c r="E26">
        <v>85</v>
      </c>
      <c r="F26">
        <v>67</v>
      </c>
      <c r="H26">
        <f>F26/E26*100</f>
        <v>78.82352941176471</v>
      </c>
      <c r="I26">
        <f t="shared" si="0"/>
        <v>-78.82352941176471</v>
      </c>
    </row>
    <row r="27" spans="1:17" x14ac:dyDescent="0.35">
      <c r="A27">
        <v>3</v>
      </c>
      <c r="B27" t="s">
        <v>5</v>
      </c>
      <c r="C27" t="s">
        <v>22</v>
      </c>
      <c r="D27" t="s">
        <v>9</v>
      </c>
      <c r="E27">
        <v>0</v>
      </c>
      <c r="F27" t="s">
        <v>20</v>
      </c>
      <c r="H27" t="e">
        <f>F27/E27*100</f>
        <v>#VALUE!</v>
      </c>
      <c r="I27" t="e">
        <f t="shared" si="0"/>
        <v>#VALUE!</v>
      </c>
    </row>
    <row r="28" spans="1:17" x14ac:dyDescent="0.35">
      <c r="A28">
        <v>3</v>
      </c>
      <c r="B28" t="s">
        <v>5</v>
      </c>
      <c r="C28" t="s">
        <v>22</v>
      </c>
      <c r="D28" t="s">
        <v>10</v>
      </c>
      <c r="E28">
        <v>0</v>
      </c>
      <c r="F28" t="s">
        <v>20</v>
      </c>
      <c r="H28" t="e">
        <f>F28/E28*100</f>
        <v>#VALUE!</v>
      </c>
      <c r="I28" t="e">
        <f t="shared" si="0"/>
        <v>#VALUE!</v>
      </c>
    </row>
    <row r="29" spans="1:17" x14ac:dyDescent="0.35">
      <c r="A29">
        <v>3</v>
      </c>
      <c r="B29" t="s">
        <v>5</v>
      </c>
      <c r="C29" t="s">
        <v>22</v>
      </c>
      <c r="D29" t="s">
        <v>11</v>
      </c>
      <c r="E29">
        <v>114</v>
      </c>
      <c r="F29">
        <v>112</v>
      </c>
      <c r="H29">
        <f>F29/E29*100</f>
        <v>98.245614035087712</v>
      </c>
      <c r="I29">
        <f t="shared" si="0"/>
        <v>-98.245614035087712</v>
      </c>
    </row>
    <row r="30" spans="1:17" x14ac:dyDescent="0.35">
      <c r="A30">
        <v>3</v>
      </c>
      <c r="B30" t="s">
        <v>5</v>
      </c>
      <c r="C30" t="s">
        <v>22</v>
      </c>
      <c r="D30" t="s">
        <v>12</v>
      </c>
      <c r="E30">
        <v>216</v>
      </c>
      <c r="F30">
        <v>213</v>
      </c>
      <c r="H30">
        <f>F30/E30*100</f>
        <v>98.611111111111114</v>
      </c>
      <c r="I30">
        <f t="shared" si="0"/>
        <v>-98.611111111111114</v>
      </c>
    </row>
    <row r="31" spans="1:17" x14ac:dyDescent="0.35">
      <c r="A31">
        <v>3</v>
      </c>
      <c r="B31" t="s">
        <v>5</v>
      </c>
      <c r="C31" t="s">
        <v>22</v>
      </c>
      <c r="D31" t="s">
        <v>13</v>
      </c>
      <c r="E31">
        <v>71</v>
      </c>
      <c r="F31">
        <v>44</v>
      </c>
      <c r="H31">
        <f>F31/E31*100</f>
        <v>61.971830985915489</v>
      </c>
      <c r="I31">
        <f t="shared" si="0"/>
        <v>-61.971830985915489</v>
      </c>
    </row>
    <row r="32" spans="1:17" x14ac:dyDescent="0.35">
      <c r="A32">
        <v>3</v>
      </c>
      <c r="B32" t="s">
        <v>5</v>
      </c>
      <c r="C32" t="s">
        <v>23</v>
      </c>
      <c r="D32" t="s">
        <v>14</v>
      </c>
      <c r="E32">
        <v>0</v>
      </c>
      <c r="F32" t="s">
        <v>20</v>
      </c>
      <c r="H32" t="e">
        <f>F32/E32*100</f>
        <v>#VALUE!</v>
      </c>
      <c r="I32" t="e">
        <f t="shared" si="0"/>
        <v>#VALUE!</v>
      </c>
      <c r="K32">
        <v>5</v>
      </c>
      <c r="N32">
        <v>7</v>
      </c>
      <c r="Q32">
        <v>20</v>
      </c>
    </row>
    <row r="33" spans="1:17" x14ac:dyDescent="0.35">
      <c r="A33">
        <v>3</v>
      </c>
      <c r="B33" t="s">
        <v>5</v>
      </c>
      <c r="C33" t="s">
        <v>23</v>
      </c>
      <c r="D33" t="s">
        <v>15</v>
      </c>
      <c r="E33">
        <v>0</v>
      </c>
      <c r="F33" t="s">
        <v>20</v>
      </c>
      <c r="H33" t="e">
        <f>F33/E33*100</f>
        <v>#VALUE!</v>
      </c>
      <c r="I33" t="e">
        <f t="shared" si="0"/>
        <v>#VALUE!</v>
      </c>
    </row>
    <row r="34" spans="1:17" x14ac:dyDescent="0.35">
      <c r="A34">
        <v>3</v>
      </c>
      <c r="B34" t="s">
        <v>5</v>
      </c>
      <c r="C34" t="s">
        <v>23</v>
      </c>
      <c r="D34" t="s">
        <v>16</v>
      </c>
      <c r="E34">
        <v>0</v>
      </c>
      <c r="F34" t="s">
        <v>20</v>
      </c>
      <c r="H34" t="e">
        <f>F34/E34*100</f>
        <v>#VALUE!</v>
      </c>
      <c r="I34" t="e">
        <f t="shared" si="0"/>
        <v>#VALUE!</v>
      </c>
    </row>
    <row r="35" spans="1:17" x14ac:dyDescent="0.35">
      <c r="A35">
        <v>3</v>
      </c>
      <c r="B35" t="s">
        <v>5</v>
      </c>
      <c r="C35" t="s">
        <v>23</v>
      </c>
      <c r="D35" t="s">
        <v>17</v>
      </c>
      <c r="E35">
        <v>59</v>
      </c>
      <c r="F35">
        <v>5</v>
      </c>
      <c r="H35">
        <f>F35/E35*100</f>
        <v>8.4745762711864394</v>
      </c>
      <c r="I35">
        <f t="shared" si="0"/>
        <v>-8.4745762711864394</v>
      </c>
    </row>
    <row r="36" spans="1:17" x14ac:dyDescent="0.35">
      <c r="A36">
        <v>3</v>
      </c>
      <c r="B36" t="s">
        <v>5</v>
      </c>
      <c r="C36" t="s">
        <v>23</v>
      </c>
      <c r="D36" t="s">
        <v>18</v>
      </c>
      <c r="E36">
        <v>0</v>
      </c>
      <c r="F36" t="s">
        <v>20</v>
      </c>
      <c r="H36" t="e">
        <f>F36/E36*100</f>
        <v>#VALUE!</v>
      </c>
      <c r="I36" t="e">
        <f t="shared" si="0"/>
        <v>#VALUE!</v>
      </c>
    </row>
    <row r="37" spans="1:17" x14ac:dyDescent="0.35">
      <c r="A37">
        <v>4</v>
      </c>
      <c r="B37" t="s">
        <v>24</v>
      </c>
      <c r="C37" t="s">
        <v>6</v>
      </c>
      <c r="D37" t="s">
        <v>8</v>
      </c>
      <c r="E37">
        <v>142</v>
      </c>
      <c r="F37">
        <v>135</v>
      </c>
      <c r="H37">
        <f>F37/E37*100</f>
        <v>95.070422535211264</v>
      </c>
      <c r="I37">
        <f t="shared" si="0"/>
        <v>-95.070422535211264</v>
      </c>
      <c r="K37">
        <v>9</v>
      </c>
      <c r="N37">
        <v>9</v>
      </c>
      <c r="Q37">
        <v>0</v>
      </c>
    </row>
    <row r="38" spans="1:17" x14ac:dyDescent="0.35">
      <c r="A38">
        <v>4</v>
      </c>
      <c r="B38" t="s">
        <v>24</v>
      </c>
      <c r="C38" t="s">
        <v>6</v>
      </c>
      <c r="D38" t="s">
        <v>9</v>
      </c>
      <c r="E38">
        <v>0</v>
      </c>
      <c r="F38" t="s">
        <v>20</v>
      </c>
      <c r="H38" t="e">
        <f>F38/E38*100</f>
        <v>#VALUE!</v>
      </c>
      <c r="I38" t="e">
        <f t="shared" si="0"/>
        <v>#VALUE!</v>
      </c>
    </row>
    <row r="39" spans="1:17" x14ac:dyDescent="0.35">
      <c r="A39">
        <v>4</v>
      </c>
      <c r="B39" t="s">
        <v>24</v>
      </c>
      <c r="C39" t="s">
        <v>6</v>
      </c>
      <c r="D39" t="s">
        <v>10</v>
      </c>
      <c r="E39">
        <v>0</v>
      </c>
      <c r="F39" t="s">
        <v>20</v>
      </c>
      <c r="H39" t="e">
        <f>F39/E39*100</f>
        <v>#VALUE!</v>
      </c>
      <c r="I39" t="e">
        <f t="shared" si="0"/>
        <v>#VALUE!</v>
      </c>
    </row>
    <row r="40" spans="1:17" x14ac:dyDescent="0.35">
      <c r="A40">
        <v>4</v>
      </c>
      <c r="B40" t="s">
        <v>24</v>
      </c>
      <c r="C40" t="s">
        <v>6</v>
      </c>
      <c r="D40" t="s">
        <v>11</v>
      </c>
      <c r="E40">
        <v>172</v>
      </c>
      <c r="F40">
        <v>165</v>
      </c>
      <c r="H40">
        <f>F40/E40*100</f>
        <v>95.930232558139537</v>
      </c>
      <c r="I40">
        <f t="shared" si="0"/>
        <v>-95.930232558139537</v>
      </c>
    </row>
    <row r="41" spans="1:17" x14ac:dyDescent="0.35">
      <c r="A41">
        <v>4</v>
      </c>
      <c r="B41" t="s">
        <v>24</v>
      </c>
      <c r="C41" t="s">
        <v>6</v>
      </c>
      <c r="D41" t="s">
        <v>12</v>
      </c>
      <c r="E41">
        <v>74</v>
      </c>
      <c r="F41">
        <v>61</v>
      </c>
      <c r="H41">
        <f>F41/E41*100</f>
        <v>82.432432432432435</v>
      </c>
      <c r="I41">
        <f t="shared" si="0"/>
        <v>-82.432432432432435</v>
      </c>
    </row>
    <row r="42" spans="1:17" x14ac:dyDescent="0.35">
      <c r="A42">
        <v>4</v>
      </c>
      <c r="B42" t="s">
        <v>24</v>
      </c>
      <c r="C42" t="s">
        <v>6</v>
      </c>
      <c r="D42" t="s">
        <v>13</v>
      </c>
      <c r="E42">
        <v>112</v>
      </c>
      <c r="F42">
        <v>86</v>
      </c>
      <c r="H42">
        <f>F42/E42*100</f>
        <v>76.785714285714292</v>
      </c>
      <c r="I42">
        <f t="shared" si="0"/>
        <v>-76.785714285714292</v>
      </c>
    </row>
    <row r="43" spans="1:17" x14ac:dyDescent="0.35">
      <c r="A43">
        <v>4</v>
      </c>
      <c r="B43" t="s">
        <v>24</v>
      </c>
      <c r="C43" t="s">
        <v>6</v>
      </c>
      <c r="D43" t="s">
        <v>14</v>
      </c>
      <c r="E43">
        <v>94</v>
      </c>
      <c r="F43">
        <v>82</v>
      </c>
      <c r="H43">
        <f>F43/E43*100</f>
        <v>87.2340425531915</v>
      </c>
      <c r="I43">
        <f t="shared" si="0"/>
        <v>-87.2340425531915</v>
      </c>
    </row>
    <row r="44" spans="1:17" x14ac:dyDescent="0.35">
      <c r="A44">
        <v>4</v>
      </c>
      <c r="B44" t="s">
        <v>24</v>
      </c>
      <c r="C44" t="s">
        <v>6</v>
      </c>
      <c r="D44" t="s">
        <v>15</v>
      </c>
      <c r="E44">
        <v>203</v>
      </c>
      <c r="F44">
        <v>103</v>
      </c>
      <c r="H44">
        <f>F44/E44*100</f>
        <v>50.738916256157637</v>
      </c>
      <c r="I44">
        <f t="shared" si="0"/>
        <v>-50.738916256157637</v>
      </c>
    </row>
    <row r="45" spans="1:17" x14ac:dyDescent="0.35">
      <c r="A45">
        <v>4</v>
      </c>
      <c r="B45" t="s">
        <v>24</v>
      </c>
      <c r="C45" t="s">
        <v>6</v>
      </c>
      <c r="D45" t="s">
        <v>16</v>
      </c>
      <c r="E45">
        <v>115</v>
      </c>
      <c r="F45">
        <v>101</v>
      </c>
      <c r="H45">
        <f>F45/E45*100</f>
        <v>87.826086956521749</v>
      </c>
      <c r="I45">
        <f t="shared" si="0"/>
        <v>-87.826086956521749</v>
      </c>
    </row>
    <row r="46" spans="1:17" x14ac:dyDescent="0.35">
      <c r="A46">
        <v>4</v>
      </c>
      <c r="B46" t="s">
        <v>24</v>
      </c>
      <c r="C46" t="s">
        <v>7</v>
      </c>
      <c r="D46" t="s">
        <v>17</v>
      </c>
      <c r="E46">
        <v>47</v>
      </c>
      <c r="F46">
        <v>33</v>
      </c>
      <c r="H46">
        <f>F46/E46*100</f>
        <v>70.212765957446805</v>
      </c>
      <c r="I46">
        <f t="shared" si="0"/>
        <v>-70.212765957446805</v>
      </c>
      <c r="K46">
        <v>7</v>
      </c>
      <c r="N46">
        <v>9</v>
      </c>
      <c r="Q46">
        <v>20</v>
      </c>
    </row>
    <row r="47" spans="1:17" x14ac:dyDescent="0.35">
      <c r="A47">
        <v>4</v>
      </c>
      <c r="B47" t="s">
        <v>24</v>
      </c>
      <c r="C47" t="s">
        <v>7</v>
      </c>
      <c r="D47" t="s">
        <v>18</v>
      </c>
      <c r="E47">
        <v>120</v>
      </c>
      <c r="F47">
        <v>119</v>
      </c>
      <c r="H47">
        <f>F47/E47*100</f>
        <v>99.166666666666671</v>
      </c>
      <c r="I47">
        <f t="shared" si="0"/>
        <v>-99.166666666666671</v>
      </c>
    </row>
    <row r="48" spans="1:17" x14ac:dyDescent="0.35">
      <c r="A48">
        <v>4</v>
      </c>
      <c r="B48" t="s">
        <v>24</v>
      </c>
      <c r="C48" t="s">
        <v>7</v>
      </c>
      <c r="D48" t="s">
        <v>19</v>
      </c>
      <c r="E48">
        <v>82</v>
      </c>
      <c r="F48">
        <v>71</v>
      </c>
      <c r="H48">
        <f>F48/E48*100</f>
        <v>86.58536585365853</v>
      </c>
      <c r="I48">
        <f t="shared" si="0"/>
        <v>-86.58536585365853</v>
      </c>
    </row>
    <row r="49" spans="1:17" x14ac:dyDescent="0.35">
      <c r="A49">
        <v>5</v>
      </c>
      <c r="B49" t="s">
        <v>24</v>
      </c>
      <c r="C49" t="s">
        <v>7</v>
      </c>
      <c r="D49" t="s">
        <v>8</v>
      </c>
      <c r="E49">
        <v>62</v>
      </c>
      <c r="F49">
        <v>36</v>
      </c>
      <c r="H49">
        <f>F49/E49*100</f>
        <v>58.064516129032263</v>
      </c>
      <c r="I49">
        <f t="shared" si="0"/>
        <v>-58.064516129032263</v>
      </c>
    </row>
    <row r="50" spans="1:17" x14ac:dyDescent="0.35">
      <c r="A50">
        <v>5</v>
      </c>
      <c r="B50" t="s">
        <v>24</v>
      </c>
      <c r="C50" t="s">
        <v>7</v>
      </c>
      <c r="D50" t="s">
        <v>9</v>
      </c>
      <c r="E50">
        <v>64</v>
      </c>
      <c r="F50">
        <v>58</v>
      </c>
      <c r="H50">
        <f>F50/E50*100</f>
        <v>90.625</v>
      </c>
      <c r="I50">
        <f t="shared" si="0"/>
        <v>-90.625</v>
      </c>
    </row>
    <row r="51" spans="1:17" x14ac:dyDescent="0.35">
      <c r="A51">
        <v>5</v>
      </c>
      <c r="B51" t="s">
        <v>24</v>
      </c>
      <c r="C51" t="s">
        <v>7</v>
      </c>
      <c r="D51" t="s">
        <v>10</v>
      </c>
      <c r="E51">
        <v>0</v>
      </c>
      <c r="F51" t="s">
        <v>20</v>
      </c>
      <c r="H51" t="e">
        <f>F51/E51*100</f>
        <v>#VALUE!</v>
      </c>
      <c r="I51" t="e">
        <f t="shared" si="0"/>
        <v>#VALUE!</v>
      </c>
    </row>
    <row r="52" spans="1:17" x14ac:dyDescent="0.35">
      <c r="A52">
        <v>5</v>
      </c>
      <c r="B52" t="s">
        <v>24</v>
      </c>
      <c r="C52" t="s">
        <v>7</v>
      </c>
      <c r="D52" t="s">
        <v>11</v>
      </c>
      <c r="E52">
        <v>0</v>
      </c>
      <c r="F52" t="s">
        <v>20</v>
      </c>
      <c r="H52" t="e">
        <f>F52/E52*100</f>
        <v>#VALUE!</v>
      </c>
      <c r="I52" t="e">
        <f t="shared" si="0"/>
        <v>#VALUE!</v>
      </c>
    </row>
    <row r="53" spans="1:17" x14ac:dyDescent="0.35">
      <c r="A53">
        <v>5</v>
      </c>
      <c r="B53" t="s">
        <v>24</v>
      </c>
      <c r="C53" t="s">
        <v>21</v>
      </c>
      <c r="D53" t="s">
        <v>12</v>
      </c>
      <c r="E53">
        <v>77</v>
      </c>
      <c r="F53">
        <v>74</v>
      </c>
      <c r="H53">
        <f>F53/E53*100</f>
        <v>96.103896103896105</v>
      </c>
      <c r="I53">
        <f t="shared" si="0"/>
        <v>-96.103896103896105</v>
      </c>
      <c r="K53">
        <v>10</v>
      </c>
      <c r="N53">
        <v>10</v>
      </c>
      <c r="Q53">
        <v>0</v>
      </c>
    </row>
    <row r="54" spans="1:17" x14ac:dyDescent="0.35">
      <c r="A54">
        <v>5</v>
      </c>
      <c r="B54" t="s">
        <v>24</v>
      </c>
      <c r="C54" t="s">
        <v>21</v>
      </c>
      <c r="D54" t="s">
        <v>13</v>
      </c>
      <c r="E54">
        <v>0</v>
      </c>
      <c r="F54" t="s">
        <v>20</v>
      </c>
      <c r="H54" t="e">
        <f>F54/E54*100</f>
        <v>#VALUE!</v>
      </c>
      <c r="I54" t="e">
        <f t="shared" si="0"/>
        <v>#VALUE!</v>
      </c>
    </row>
    <row r="55" spans="1:17" x14ac:dyDescent="0.35">
      <c r="A55">
        <v>5</v>
      </c>
      <c r="B55" t="s">
        <v>24</v>
      </c>
      <c r="C55" t="s">
        <v>21</v>
      </c>
      <c r="D55" t="s">
        <v>14</v>
      </c>
      <c r="E55">
        <v>74</v>
      </c>
      <c r="F55">
        <v>67</v>
      </c>
      <c r="H55">
        <f>F55/E55*100</f>
        <v>90.540540540540533</v>
      </c>
      <c r="I55">
        <f t="shared" si="0"/>
        <v>-90.540540540540533</v>
      </c>
    </row>
    <row r="56" spans="1:17" x14ac:dyDescent="0.35">
      <c r="A56">
        <v>5</v>
      </c>
      <c r="B56" t="s">
        <v>24</v>
      </c>
      <c r="C56" t="s">
        <v>21</v>
      </c>
      <c r="D56" t="s">
        <v>15</v>
      </c>
      <c r="E56">
        <v>70</v>
      </c>
      <c r="F56">
        <v>70</v>
      </c>
      <c r="H56">
        <f>F56/E56*100</f>
        <v>100</v>
      </c>
      <c r="I56">
        <f t="shared" si="0"/>
        <v>-100</v>
      </c>
    </row>
    <row r="57" spans="1:17" x14ac:dyDescent="0.35">
      <c r="A57">
        <v>5</v>
      </c>
      <c r="B57" t="s">
        <v>24</v>
      </c>
      <c r="C57" t="s">
        <v>21</v>
      </c>
      <c r="D57" t="s">
        <v>16</v>
      </c>
      <c r="E57">
        <v>0</v>
      </c>
      <c r="F57" t="s">
        <v>20</v>
      </c>
      <c r="H57" t="e">
        <f>F57/E57*100</f>
        <v>#VALUE!</v>
      </c>
      <c r="I57" t="e">
        <f t="shared" si="0"/>
        <v>#VALUE!</v>
      </c>
    </row>
    <row r="58" spans="1:17" x14ac:dyDescent="0.35">
      <c r="A58">
        <v>5</v>
      </c>
      <c r="B58" t="s">
        <v>24</v>
      </c>
      <c r="C58" t="s">
        <v>21</v>
      </c>
      <c r="D58" t="s">
        <v>17</v>
      </c>
      <c r="E58">
        <v>98</v>
      </c>
      <c r="F58">
        <v>88</v>
      </c>
      <c r="H58">
        <f>F58/E58*100</f>
        <v>89.795918367346943</v>
      </c>
      <c r="I58">
        <f t="shared" si="0"/>
        <v>-89.795918367346943</v>
      </c>
    </row>
    <row r="59" spans="1:17" x14ac:dyDescent="0.35">
      <c r="A59">
        <v>5</v>
      </c>
      <c r="B59" t="s">
        <v>24</v>
      </c>
      <c r="C59" t="s">
        <v>21</v>
      </c>
      <c r="D59" t="s">
        <v>18</v>
      </c>
      <c r="E59">
        <v>0</v>
      </c>
      <c r="F59" t="s">
        <v>20</v>
      </c>
      <c r="H59" t="e">
        <f>F59/E59*100</f>
        <v>#VALUE!</v>
      </c>
      <c r="I59" t="e">
        <f t="shared" si="0"/>
        <v>#VALUE!</v>
      </c>
    </row>
    <row r="60" spans="1:17" x14ac:dyDescent="0.35">
      <c r="A60">
        <v>5</v>
      </c>
      <c r="B60" t="s">
        <v>24</v>
      </c>
      <c r="C60" t="s">
        <v>21</v>
      </c>
      <c r="D60" t="s">
        <v>19</v>
      </c>
      <c r="E60">
        <v>84</v>
      </c>
      <c r="F60">
        <v>78</v>
      </c>
      <c r="H60">
        <f>F60/E60*100</f>
        <v>92.857142857142861</v>
      </c>
      <c r="I60">
        <f t="shared" si="0"/>
        <v>-92.857142857142861</v>
      </c>
    </row>
    <row r="61" spans="1:17" x14ac:dyDescent="0.35">
      <c r="A61">
        <v>6</v>
      </c>
      <c r="B61" t="s">
        <v>24</v>
      </c>
      <c r="C61" t="s">
        <v>21</v>
      </c>
      <c r="D61" t="s">
        <v>8</v>
      </c>
      <c r="E61">
        <v>0</v>
      </c>
      <c r="F61" t="s">
        <v>20</v>
      </c>
      <c r="H61" t="e">
        <f>F61/E61*100</f>
        <v>#VALUE!</v>
      </c>
      <c r="I61" t="e">
        <f t="shared" si="0"/>
        <v>#VALUE!</v>
      </c>
    </row>
    <row r="62" spans="1:17" x14ac:dyDescent="0.35">
      <c r="A62">
        <v>6</v>
      </c>
      <c r="B62" t="s">
        <v>24</v>
      </c>
      <c r="C62" t="s">
        <v>21</v>
      </c>
      <c r="D62" t="s">
        <v>9</v>
      </c>
      <c r="E62">
        <v>155</v>
      </c>
      <c r="F62">
        <v>109</v>
      </c>
      <c r="H62">
        <f>F62/E62*100</f>
        <v>70.322580645161295</v>
      </c>
      <c r="I62">
        <f t="shared" si="0"/>
        <v>-70.322580645161295</v>
      </c>
    </row>
    <row r="63" spans="1:17" x14ac:dyDescent="0.35">
      <c r="A63">
        <v>6</v>
      </c>
      <c r="B63" t="s">
        <v>24</v>
      </c>
      <c r="C63" t="s">
        <v>22</v>
      </c>
      <c r="D63" t="s">
        <v>10</v>
      </c>
      <c r="E63">
        <v>0</v>
      </c>
      <c r="F63" t="s">
        <v>20</v>
      </c>
      <c r="H63" t="e">
        <f>F63/E63*100</f>
        <v>#VALUE!</v>
      </c>
      <c r="I63" t="e">
        <f t="shared" si="0"/>
        <v>#VALUE!</v>
      </c>
      <c r="K63">
        <v>3</v>
      </c>
      <c r="N63">
        <v>8</v>
      </c>
      <c r="Q63">
        <v>50</v>
      </c>
    </row>
    <row r="64" spans="1:17" x14ac:dyDescent="0.35">
      <c r="A64">
        <v>6</v>
      </c>
      <c r="B64" t="s">
        <v>24</v>
      </c>
      <c r="C64" t="s">
        <v>22</v>
      </c>
      <c r="D64" t="s">
        <v>11</v>
      </c>
      <c r="E64">
        <v>2</v>
      </c>
      <c r="F64">
        <v>1</v>
      </c>
      <c r="H64">
        <f>F64/E64*100</f>
        <v>50</v>
      </c>
      <c r="I64">
        <f t="shared" si="0"/>
        <v>-50</v>
      </c>
    </row>
    <row r="65" spans="1:17" x14ac:dyDescent="0.35">
      <c r="A65">
        <v>6</v>
      </c>
      <c r="B65" t="s">
        <v>24</v>
      </c>
      <c r="C65" t="s">
        <v>22</v>
      </c>
      <c r="D65" t="s">
        <v>12</v>
      </c>
      <c r="E65">
        <v>50</v>
      </c>
      <c r="F65">
        <v>48</v>
      </c>
      <c r="H65">
        <f>F65/E65*100</f>
        <v>96</v>
      </c>
      <c r="I65">
        <f t="shared" si="0"/>
        <v>-96</v>
      </c>
    </row>
    <row r="66" spans="1:17" x14ac:dyDescent="0.35">
      <c r="A66">
        <v>6</v>
      </c>
      <c r="B66" t="s">
        <v>24</v>
      </c>
      <c r="C66" t="s">
        <v>23</v>
      </c>
      <c r="D66" t="s">
        <v>13</v>
      </c>
      <c r="E66">
        <v>93</v>
      </c>
      <c r="F66">
        <v>90</v>
      </c>
      <c r="H66">
        <f>F66/E66*100</f>
        <v>96.774193548387103</v>
      </c>
      <c r="I66">
        <f t="shared" si="0"/>
        <v>-96.774193548387103</v>
      </c>
      <c r="K66">
        <v>10</v>
      </c>
      <c r="N66">
        <v>10</v>
      </c>
      <c r="Q66">
        <v>0</v>
      </c>
    </row>
    <row r="67" spans="1:17" x14ac:dyDescent="0.35">
      <c r="A67">
        <v>6</v>
      </c>
      <c r="B67" t="s">
        <v>24</v>
      </c>
      <c r="C67" t="s">
        <v>23</v>
      </c>
      <c r="D67" t="s">
        <v>14</v>
      </c>
      <c r="E67">
        <v>83</v>
      </c>
      <c r="F67">
        <v>72</v>
      </c>
      <c r="H67">
        <f>F67/E67*100</f>
        <v>86.746987951807228</v>
      </c>
      <c r="I67">
        <f t="shared" ref="I67:I130" si="1">H67*-1</f>
        <v>-86.746987951807228</v>
      </c>
    </row>
    <row r="68" spans="1:17" x14ac:dyDescent="0.35">
      <c r="A68">
        <v>6</v>
      </c>
      <c r="B68" t="s">
        <v>24</v>
      </c>
      <c r="C68" t="s">
        <v>23</v>
      </c>
      <c r="D68" t="s">
        <v>15</v>
      </c>
      <c r="E68">
        <v>99</v>
      </c>
      <c r="F68">
        <v>79</v>
      </c>
      <c r="H68">
        <f>F68/E68*100</f>
        <v>79.797979797979806</v>
      </c>
      <c r="I68">
        <f t="shared" si="1"/>
        <v>-79.797979797979806</v>
      </c>
    </row>
    <row r="69" spans="1:17" x14ac:dyDescent="0.35">
      <c r="A69">
        <v>6</v>
      </c>
      <c r="B69" t="s">
        <v>24</v>
      </c>
      <c r="C69" t="s">
        <v>23</v>
      </c>
      <c r="D69" t="s">
        <v>16</v>
      </c>
      <c r="E69">
        <v>91</v>
      </c>
      <c r="F69">
        <v>86</v>
      </c>
      <c r="H69">
        <f>F69/E69*100</f>
        <v>94.505494505494497</v>
      </c>
      <c r="I69">
        <f t="shared" si="1"/>
        <v>-94.505494505494497</v>
      </c>
    </row>
    <row r="70" spans="1:17" x14ac:dyDescent="0.35">
      <c r="A70">
        <v>6</v>
      </c>
      <c r="B70" t="s">
        <v>24</v>
      </c>
      <c r="C70" t="s">
        <v>23</v>
      </c>
      <c r="D70" t="s">
        <v>17</v>
      </c>
      <c r="E70">
        <v>0</v>
      </c>
      <c r="F70" t="s">
        <v>20</v>
      </c>
      <c r="H70" t="e">
        <f>F70/E70*100</f>
        <v>#VALUE!</v>
      </c>
      <c r="I70" t="e">
        <f t="shared" si="1"/>
        <v>#VALUE!</v>
      </c>
    </row>
    <row r="71" spans="1:17" x14ac:dyDescent="0.35">
      <c r="A71">
        <v>6</v>
      </c>
      <c r="B71" t="s">
        <v>24</v>
      </c>
      <c r="C71" t="s">
        <v>23</v>
      </c>
      <c r="D71" t="s">
        <v>18</v>
      </c>
      <c r="E71">
        <v>80</v>
      </c>
      <c r="F71">
        <v>56</v>
      </c>
      <c r="H71">
        <f>F71/E71*100</f>
        <v>70</v>
      </c>
      <c r="I71">
        <f t="shared" si="1"/>
        <v>-70</v>
      </c>
    </row>
    <row r="72" spans="1:17" x14ac:dyDescent="0.35">
      <c r="A72">
        <v>6</v>
      </c>
      <c r="B72" t="s">
        <v>24</v>
      </c>
      <c r="C72" t="s">
        <v>23</v>
      </c>
      <c r="D72" t="s">
        <v>19</v>
      </c>
      <c r="E72">
        <v>18</v>
      </c>
      <c r="F72">
        <v>11</v>
      </c>
      <c r="H72">
        <f>F72/E72*100</f>
        <v>61.111111111111114</v>
      </c>
      <c r="I72">
        <f t="shared" si="1"/>
        <v>-61.111111111111114</v>
      </c>
    </row>
    <row r="73" spans="1:17" x14ac:dyDescent="0.35">
      <c r="A73">
        <v>7</v>
      </c>
      <c r="B73" t="s">
        <v>24</v>
      </c>
      <c r="C73" t="s">
        <v>23</v>
      </c>
      <c r="D73" t="s">
        <v>8</v>
      </c>
      <c r="E73">
        <v>77</v>
      </c>
      <c r="F73">
        <v>67</v>
      </c>
      <c r="H73">
        <f>F73/E73*100</f>
        <v>87.012987012987011</v>
      </c>
      <c r="I73">
        <f t="shared" si="1"/>
        <v>-87.012987012987011</v>
      </c>
    </row>
    <row r="74" spans="1:17" x14ac:dyDescent="0.35">
      <c r="A74">
        <v>7</v>
      </c>
      <c r="B74" t="s">
        <v>24</v>
      </c>
      <c r="C74" t="s">
        <v>23</v>
      </c>
      <c r="D74" t="s">
        <v>9</v>
      </c>
      <c r="E74">
        <v>29</v>
      </c>
      <c r="F74">
        <v>26</v>
      </c>
      <c r="H74">
        <f>F74/E74*100</f>
        <v>89.65517241379311</v>
      </c>
      <c r="I74">
        <f t="shared" si="1"/>
        <v>-89.65517241379311</v>
      </c>
    </row>
    <row r="75" spans="1:17" x14ac:dyDescent="0.35">
      <c r="A75">
        <v>7</v>
      </c>
      <c r="B75" t="s">
        <v>24</v>
      </c>
      <c r="C75" t="s">
        <v>23</v>
      </c>
      <c r="D75" t="s">
        <v>10</v>
      </c>
      <c r="E75">
        <v>136</v>
      </c>
      <c r="F75">
        <v>133</v>
      </c>
      <c r="H75">
        <f>F75/E75*100</f>
        <v>97.794117647058826</v>
      </c>
      <c r="I75">
        <f t="shared" si="1"/>
        <v>-97.794117647058826</v>
      </c>
    </row>
    <row r="76" spans="1:17" x14ac:dyDescent="0.35">
      <c r="A76">
        <v>7</v>
      </c>
      <c r="B76" t="s">
        <v>25</v>
      </c>
      <c r="C76" t="s">
        <v>6</v>
      </c>
      <c r="D76" t="s">
        <v>11</v>
      </c>
      <c r="E76">
        <v>83</v>
      </c>
      <c r="F76">
        <v>77</v>
      </c>
      <c r="H76">
        <f>F76/E76*100</f>
        <v>92.771084337349393</v>
      </c>
      <c r="I76">
        <f t="shared" si="1"/>
        <v>-92.771084337349393</v>
      </c>
      <c r="K76">
        <v>10</v>
      </c>
      <c r="N76">
        <v>10</v>
      </c>
      <c r="Q76">
        <v>0</v>
      </c>
    </row>
    <row r="77" spans="1:17" x14ac:dyDescent="0.35">
      <c r="A77">
        <v>7</v>
      </c>
      <c r="B77" t="s">
        <v>25</v>
      </c>
      <c r="C77" t="s">
        <v>6</v>
      </c>
      <c r="D77" t="s">
        <v>12</v>
      </c>
      <c r="E77">
        <v>61</v>
      </c>
      <c r="F77">
        <v>60</v>
      </c>
      <c r="H77">
        <f>F77/E77*100</f>
        <v>98.360655737704917</v>
      </c>
      <c r="I77">
        <f t="shared" si="1"/>
        <v>-98.360655737704917</v>
      </c>
    </row>
    <row r="78" spans="1:17" x14ac:dyDescent="0.35">
      <c r="A78">
        <v>7</v>
      </c>
      <c r="B78" t="s">
        <v>25</v>
      </c>
      <c r="C78" t="s">
        <v>6</v>
      </c>
      <c r="D78" t="s">
        <v>13</v>
      </c>
      <c r="E78">
        <v>113</v>
      </c>
      <c r="F78">
        <v>103</v>
      </c>
      <c r="H78">
        <f>F78/E78*100</f>
        <v>91.150442477876098</v>
      </c>
      <c r="I78">
        <f t="shared" si="1"/>
        <v>-91.150442477876098</v>
      </c>
    </row>
    <row r="79" spans="1:17" x14ac:dyDescent="0.35">
      <c r="A79">
        <v>7</v>
      </c>
      <c r="B79" t="s">
        <v>25</v>
      </c>
      <c r="C79" t="s">
        <v>6</v>
      </c>
      <c r="D79" t="s">
        <v>14</v>
      </c>
      <c r="E79">
        <v>0</v>
      </c>
      <c r="F79" t="s">
        <v>20</v>
      </c>
      <c r="H79" t="e">
        <f>F79/E79*100</f>
        <v>#VALUE!</v>
      </c>
      <c r="I79" t="e">
        <f t="shared" si="1"/>
        <v>#VALUE!</v>
      </c>
    </row>
    <row r="80" spans="1:17" x14ac:dyDescent="0.35">
      <c r="A80">
        <v>7</v>
      </c>
      <c r="B80" t="s">
        <v>25</v>
      </c>
      <c r="C80" t="s">
        <v>6</v>
      </c>
      <c r="D80" t="s">
        <v>15</v>
      </c>
      <c r="E80">
        <v>131</v>
      </c>
      <c r="F80">
        <v>82</v>
      </c>
      <c r="H80">
        <f>F80/E80*100</f>
        <v>62.595419847328252</v>
      </c>
      <c r="I80">
        <f t="shared" si="1"/>
        <v>-62.595419847328252</v>
      </c>
    </row>
    <row r="81" spans="1:17" x14ac:dyDescent="0.35">
      <c r="A81">
        <v>7</v>
      </c>
      <c r="B81" t="s">
        <v>25</v>
      </c>
      <c r="C81" t="s">
        <v>6</v>
      </c>
      <c r="D81" t="s">
        <v>16</v>
      </c>
      <c r="E81">
        <v>135</v>
      </c>
      <c r="F81">
        <v>135</v>
      </c>
      <c r="H81">
        <f>F81/E81*100</f>
        <v>100</v>
      </c>
      <c r="I81">
        <f t="shared" si="1"/>
        <v>-100</v>
      </c>
    </row>
    <row r="82" spans="1:17" x14ac:dyDescent="0.35">
      <c r="A82">
        <v>7</v>
      </c>
      <c r="B82" t="s">
        <v>25</v>
      </c>
      <c r="C82" t="s">
        <v>6</v>
      </c>
      <c r="D82" t="s">
        <v>17</v>
      </c>
      <c r="E82">
        <v>114</v>
      </c>
      <c r="F82">
        <v>106</v>
      </c>
      <c r="H82">
        <f>F82/E82*100</f>
        <v>92.982456140350877</v>
      </c>
      <c r="I82">
        <f t="shared" si="1"/>
        <v>-92.982456140350877</v>
      </c>
    </row>
    <row r="83" spans="1:17" x14ac:dyDescent="0.35">
      <c r="A83">
        <v>7</v>
      </c>
      <c r="B83" t="s">
        <v>25</v>
      </c>
      <c r="C83" t="s">
        <v>6</v>
      </c>
      <c r="D83" t="s">
        <v>18</v>
      </c>
      <c r="E83">
        <v>123</v>
      </c>
      <c r="F83">
        <v>118</v>
      </c>
      <c r="H83">
        <f>F83/E83*100</f>
        <v>95.934959349593498</v>
      </c>
      <c r="I83">
        <f t="shared" si="1"/>
        <v>-95.934959349593498</v>
      </c>
    </row>
    <row r="84" spans="1:17" x14ac:dyDescent="0.35">
      <c r="A84">
        <v>7</v>
      </c>
      <c r="B84" t="s">
        <v>25</v>
      </c>
      <c r="C84" t="s">
        <v>6</v>
      </c>
      <c r="D84" t="s">
        <v>19</v>
      </c>
      <c r="E84">
        <v>98</v>
      </c>
      <c r="F84">
        <v>96</v>
      </c>
      <c r="H84">
        <f>F84/E84*100</f>
        <v>97.959183673469383</v>
      </c>
      <c r="I84">
        <f t="shared" si="1"/>
        <v>-97.959183673469383</v>
      </c>
    </row>
    <row r="85" spans="1:17" x14ac:dyDescent="0.35">
      <c r="A85">
        <v>8</v>
      </c>
      <c r="B85" t="s">
        <v>25</v>
      </c>
      <c r="C85" t="s">
        <v>6</v>
      </c>
      <c r="D85" t="s">
        <v>8</v>
      </c>
      <c r="E85">
        <v>103</v>
      </c>
      <c r="F85">
        <v>99</v>
      </c>
      <c r="H85">
        <f>F85/E85*100</f>
        <v>96.116504854368941</v>
      </c>
      <c r="I85">
        <f t="shared" si="1"/>
        <v>-96.116504854368941</v>
      </c>
    </row>
    <row r="86" spans="1:17" x14ac:dyDescent="0.35">
      <c r="A86">
        <v>8</v>
      </c>
      <c r="B86" t="s">
        <v>25</v>
      </c>
      <c r="C86" t="s">
        <v>7</v>
      </c>
      <c r="D86" t="s">
        <v>9</v>
      </c>
      <c r="E86">
        <v>144</v>
      </c>
      <c r="F86">
        <v>141</v>
      </c>
      <c r="H86">
        <f>F86/E86*100</f>
        <v>97.916666666666657</v>
      </c>
      <c r="I86">
        <f t="shared" si="1"/>
        <v>-97.916666666666657</v>
      </c>
      <c r="K86">
        <v>9</v>
      </c>
      <c r="N86">
        <v>10</v>
      </c>
      <c r="Q86">
        <v>10</v>
      </c>
    </row>
    <row r="87" spans="1:17" x14ac:dyDescent="0.35">
      <c r="A87">
        <v>8</v>
      </c>
      <c r="B87" t="s">
        <v>25</v>
      </c>
      <c r="C87" t="s">
        <v>7</v>
      </c>
      <c r="D87" t="s">
        <v>10</v>
      </c>
      <c r="E87">
        <v>130</v>
      </c>
      <c r="F87">
        <v>123</v>
      </c>
      <c r="H87">
        <f>F87/E87*100</f>
        <v>94.615384615384613</v>
      </c>
      <c r="I87">
        <f t="shared" si="1"/>
        <v>-94.615384615384613</v>
      </c>
    </row>
    <row r="88" spans="1:17" x14ac:dyDescent="0.35">
      <c r="A88">
        <v>8</v>
      </c>
      <c r="B88" t="s">
        <v>25</v>
      </c>
      <c r="C88" t="s">
        <v>7</v>
      </c>
      <c r="D88" t="s">
        <v>11</v>
      </c>
      <c r="E88">
        <v>159</v>
      </c>
      <c r="F88">
        <v>144</v>
      </c>
      <c r="H88">
        <f>F88/E88*100</f>
        <v>90.566037735849065</v>
      </c>
      <c r="I88">
        <f t="shared" si="1"/>
        <v>-90.566037735849065</v>
      </c>
    </row>
    <row r="89" spans="1:17" x14ac:dyDescent="0.35">
      <c r="A89">
        <v>8</v>
      </c>
      <c r="B89" t="s">
        <v>25</v>
      </c>
      <c r="C89" t="s">
        <v>7</v>
      </c>
      <c r="D89" t="s">
        <v>12</v>
      </c>
      <c r="E89">
        <v>113</v>
      </c>
      <c r="F89">
        <v>113</v>
      </c>
      <c r="H89">
        <f>F89/E89*100</f>
        <v>100</v>
      </c>
      <c r="I89">
        <f t="shared" si="1"/>
        <v>-100</v>
      </c>
    </row>
    <row r="90" spans="1:17" x14ac:dyDescent="0.35">
      <c r="A90">
        <v>8</v>
      </c>
      <c r="B90" t="s">
        <v>25</v>
      </c>
      <c r="C90" t="s">
        <v>7</v>
      </c>
      <c r="D90" t="s">
        <v>13</v>
      </c>
      <c r="E90">
        <v>122</v>
      </c>
      <c r="F90">
        <v>120</v>
      </c>
      <c r="H90">
        <f>F90/E90*100</f>
        <v>98.360655737704917</v>
      </c>
      <c r="I90">
        <f t="shared" si="1"/>
        <v>-98.360655737704917</v>
      </c>
    </row>
    <row r="91" spans="1:17" x14ac:dyDescent="0.35">
      <c r="A91">
        <v>8</v>
      </c>
      <c r="B91" t="s">
        <v>25</v>
      </c>
      <c r="C91" t="s">
        <v>7</v>
      </c>
      <c r="D91" t="s">
        <v>14</v>
      </c>
      <c r="E91">
        <v>107</v>
      </c>
      <c r="F91">
        <v>101</v>
      </c>
      <c r="H91">
        <f>F91/E91*100</f>
        <v>94.392523364485982</v>
      </c>
      <c r="I91">
        <f t="shared" si="1"/>
        <v>-94.392523364485982</v>
      </c>
    </row>
    <row r="92" spans="1:17" x14ac:dyDescent="0.35">
      <c r="A92">
        <v>8</v>
      </c>
      <c r="B92" t="s">
        <v>25</v>
      </c>
      <c r="C92" t="s">
        <v>7</v>
      </c>
      <c r="D92" t="s">
        <v>15</v>
      </c>
      <c r="E92">
        <v>70</v>
      </c>
      <c r="F92">
        <v>61</v>
      </c>
      <c r="H92">
        <f>F92/E92*100</f>
        <v>87.142857142857139</v>
      </c>
      <c r="I92">
        <f t="shared" si="1"/>
        <v>-87.142857142857139</v>
      </c>
    </row>
    <row r="93" spans="1:17" x14ac:dyDescent="0.35">
      <c r="A93">
        <v>8</v>
      </c>
      <c r="B93" t="s">
        <v>25</v>
      </c>
      <c r="C93" t="s">
        <v>7</v>
      </c>
      <c r="D93" t="s">
        <v>16</v>
      </c>
      <c r="E93">
        <v>140</v>
      </c>
      <c r="F93">
        <v>140</v>
      </c>
      <c r="H93">
        <f>F93/E93*100</f>
        <v>100</v>
      </c>
      <c r="I93">
        <f t="shared" si="1"/>
        <v>-100</v>
      </c>
    </row>
    <row r="94" spans="1:17" x14ac:dyDescent="0.35">
      <c r="A94">
        <v>8</v>
      </c>
      <c r="B94" t="s">
        <v>25</v>
      </c>
      <c r="C94" t="s">
        <v>7</v>
      </c>
      <c r="D94" t="s">
        <v>17</v>
      </c>
      <c r="E94">
        <v>148</v>
      </c>
      <c r="F94">
        <v>148</v>
      </c>
      <c r="H94">
        <f>F94/E94*100</f>
        <v>100</v>
      </c>
      <c r="I94">
        <f t="shared" si="1"/>
        <v>-100</v>
      </c>
    </row>
    <row r="95" spans="1:17" x14ac:dyDescent="0.35">
      <c r="A95">
        <v>8</v>
      </c>
      <c r="B95" t="s">
        <v>25</v>
      </c>
      <c r="C95" t="s">
        <v>21</v>
      </c>
      <c r="D95" t="s">
        <v>18</v>
      </c>
      <c r="E95">
        <v>65</v>
      </c>
      <c r="F95">
        <v>63</v>
      </c>
      <c r="H95">
        <f>F95/E95*100</f>
        <v>96.92307692307692</v>
      </c>
      <c r="I95">
        <f t="shared" si="1"/>
        <v>-96.92307692307692</v>
      </c>
      <c r="K95">
        <v>8</v>
      </c>
      <c r="N95">
        <v>9</v>
      </c>
      <c r="Q95">
        <v>10</v>
      </c>
    </row>
    <row r="96" spans="1:17" x14ac:dyDescent="0.35">
      <c r="A96">
        <v>8</v>
      </c>
      <c r="B96" t="s">
        <v>25</v>
      </c>
      <c r="C96" t="s">
        <v>21</v>
      </c>
      <c r="D96" t="s">
        <v>19</v>
      </c>
      <c r="E96">
        <v>60</v>
      </c>
      <c r="F96">
        <v>56</v>
      </c>
      <c r="H96">
        <f>F96/E96*100</f>
        <v>93.333333333333329</v>
      </c>
      <c r="I96">
        <f t="shared" si="1"/>
        <v>-93.333333333333329</v>
      </c>
    </row>
    <row r="97" spans="1:17" x14ac:dyDescent="0.35">
      <c r="A97">
        <v>9</v>
      </c>
      <c r="B97" t="s">
        <v>25</v>
      </c>
      <c r="C97" t="s">
        <v>21</v>
      </c>
      <c r="D97" t="s">
        <v>8</v>
      </c>
      <c r="E97">
        <v>145</v>
      </c>
      <c r="F97">
        <v>129</v>
      </c>
      <c r="H97">
        <f>F97/E97*100</f>
        <v>88.965517241379317</v>
      </c>
      <c r="I97">
        <f t="shared" si="1"/>
        <v>-88.965517241379317</v>
      </c>
    </row>
    <row r="98" spans="1:17" x14ac:dyDescent="0.35">
      <c r="A98">
        <v>9</v>
      </c>
      <c r="B98" t="s">
        <v>25</v>
      </c>
      <c r="C98" t="s">
        <v>21</v>
      </c>
      <c r="D98" t="s">
        <v>9</v>
      </c>
      <c r="E98">
        <v>88</v>
      </c>
      <c r="F98">
        <v>82</v>
      </c>
      <c r="H98">
        <f>F98/E98*100</f>
        <v>93.181818181818173</v>
      </c>
      <c r="I98">
        <f t="shared" si="1"/>
        <v>-93.181818181818173</v>
      </c>
    </row>
    <row r="99" spans="1:17" x14ac:dyDescent="0.35">
      <c r="A99">
        <v>9</v>
      </c>
      <c r="B99" t="s">
        <v>25</v>
      </c>
      <c r="C99" t="s">
        <v>21</v>
      </c>
      <c r="D99" t="s">
        <v>10</v>
      </c>
      <c r="E99">
        <v>64</v>
      </c>
      <c r="F99">
        <v>46</v>
      </c>
      <c r="H99">
        <f>F99/E99*100</f>
        <v>71.875</v>
      </c>
      <c r="I99">
        <f t="shared" si="1"/>
        <v>-71.875</v>
      </c>
    </row>
    <row r="100" spans="1:17" x14ac:dyDescent="0.35">
      <c r="A100">
        <v>9</v>
      </c>
      <c r="B100" t="s">
        <v>25</v>
      </c>
      <c r="C100" t="s">
        <v>21</v>
      </c>
      <c r="D100" t="s">
        <v>11</v>
      </c>
      <c r="E100">
        <v>24</v>
      </c>
      <c r="F100">
        <v>14</v>
      </c>
      <c r="H100">
        <f>F100/E100*100</f>
        <v>58.333333333333336</v>
      </c>
      <c r="I100">
        <f t="shared" si="1"/>
        <v>-58.333333333333336</v>
      </c>
    </row>
    <row r="101" spans="1:17" x14ac:dyDescent="0.35">
      <c r="A101">
        <v>9</v>
      </c>
      <c r="B101" t="s">
        <v>25</v>
      </c>
      <c r="C101" t="s">
        <v>21</v>
      </c>
      <c r="D101" t="s">
        <v>12</v>
      </c>
      <c r="E101">
        <v>0</v>
      </c>
      <c r="F101" t="s">
        <v>20</v>
      </c>
      <c r="H101" t="e">
        <f>F101/E101*100</f>
        <v>#VALUE!</v>
      </c>
      <c r="I101" t="e">
        <f t="shared" si="1"/>
        <v>#VALUE!</v>
      </c>
    </row>
    <row r="102" spans="1:17" x14ac:dyDescent="0.35">
      <c r="A102">
        <v>9</v>
      </c>
      <c r="B102" t="s">
        <v>25</v>
      </c>
      <c r="C102" t="s">
        <v>21</v>
      </c>
      <c r="D102" t="s">
        <v>13</v>
      </c>
      <c r="E102">
        <v>49</v>
      </c>
      <c r="F102">
        <v>48</v>
      </c>
      <c r="H102">
        <f>F102/E102*100</f>
        <v>97.959183673469383</v>
      </c>
      <c r="I102">
        <f t="shared" si="1"/>
        <v>-97.959183673469383</v>
      </c>
    </row>
    <row r="103" spans="1:17" x14ac:dyDescent="0.35">
      <c r="A103">
        <v>9</v>
      </c>
      <c r="B103" t="s">
        <v>25</v>
      </c>
      <c r="C103" t="s">
        <v>22</v>
      </c>
      <c r="D103" t="s">
        <v>14</v>
      </c>
      <c r="E103">
        <v>73</v>
      </c>
      <c r="F103">
        <v>71</v>
      </c>
      <c r="H103">
        <f>F103/E103*100</f>
        <v>97.260273972602747</v>
      </c>
      <c r="I103">
        <f t="shared" si="1"/>
        <v>-97.260273972602747</v>
      </c>
      <c r="K103">
        <v>10</v>
      </c>
      <c r="N103">
        <v>10</v>
      </c>
      <c r="Q103">
        <v>0</v>
      </c>
    </row>
    <row r="104" spans="1:17" x14ac:dyDescent="0.35">
      <c r="A104">
        <v>9</v>
      </c>
      <c r="B104" t="s">
        <v>25</v>
      </c>
      <c r="C104" t="s">
        <v>22</v>
      </c>
      <c r="D104" t="s">
        <v>15</v>
      </c>
      <c r="E104">
        <v>55</v>
      </c>
      <c r="F104">
        <v>0</v>
      </c>
      <c r="H104">
        <f>F104/E104*100</f>
        <v>0</v>
      </c>
      <c r="I104">
        <f t="shared" si="1"/>
        <v>0</v>
      </c>
    </row>
    <row r="105" spans="1:17" x14ac:dyDescent="0.35">
      <c r="A105">
        <v>9</v>
      </c>
      <c r="B105" t="s">
        <v>25</v>
      </c>
      <c r="C105" t="s">
        <v>22</v>
      </c>
      <c r="D105" t="s">
        <v>16</v>
      </c>
      <c r="E105">
        <v>155</v>
      </c>
      <c r="F105">
        <v>154</v>
      </c>
      <c r="H105">
        <f>F105/E105*100</f>
        <v>99.354838709677423</v>
      </c>
      <c r="I105">
        <f t="shared" si="1"/>
        <v>-99.354838709677423</v>
      </c>
    </row>
    <row r="106" spans="1:17" x14ac:dyDescent="0.35">
      <c r="A106">
        <v>9</v>
      </c>
      <c r="B106" t="s">
        <v>25</v>
      </c>
      <c r="C106" t="s">
        <v>22</v>
      </c>
      <c r="D106" t="s">
        <v>17</v>
      </c>
      <c r="E106">
        <v>0</v>
      </c>
      <c r="F106" t="s">
        <v>20</v>
      </c>
      <c r="H106" t="e">
        <f>F106/E106*100</f>
        <v>#VALUE!</v>
      </c>
      <c r="I106" t="e">
        <f t="shared" si="1"/>
        <v>#VALUE!</v>
      </c>
    </row>
    <row r="107" spans="1:17" x14ac:dyDescent="0.35">
      <c r="A107">
        <v>9</v>
      </c>
      <c r="B107" t="s">
        <v>25</v>
      </c>
      <c r="C107" t="s">
        <v>22</v>
      </c>
      <c r="D107" t="s">
        <v>18</v>
      </c>
      <c r="E107">
        <v>0</v>
      </c>
      <c r="F107" t="s">
        <v>20</v>
      </c>
      <c r="H107" t="e">
        <f>F107/E107*100</f>
        <v>#VALUE!</v>
      </c>
      <c r="I107" t="e">
        <f t="shared" si="1"/>
        <v>#VALUE!</v>
      </c>
    </row>
    <row r="108" spans="1:17" x14ac:dyDescent="0.35">
      <c r="A108">
        <v>9</v>
      </c>
      <c r="B108" t="s">
        <v>25</v>
      </c>
      <c r="C108" t="s">
        <v>22</v>
      </c>
      <c r="D108" t="s">
        <v>19</v>
      </c>
      <c r="E108">
        <v>185</v>
      </c>
      <c r="F108">
        <v>181</v>
      </c>
      <c r="H108">
        <f>F108/E108*100</f>
        <v>97.837837837837839</v>
      </c>
      <c r="I108">
        <f t="shared" si="1"/>
        <v>-97.837837837837839</v>
      </c>
    </row>
    <row r="109" spans="1:17" x14ac:dyDescent="0.35">
      <c r="A109">
        <v>10</v>
      </c>
      <c r="B109" t="s">
        <v>25</v>
      </c>
      <c r="C109" t="s">
        <v>22</v>
      </c>
      <c r="D109" t="s">
        <v>8</v>
      </c>
      <c r="E109">
        <v>84</v>
      </c>
      <c r="F109">
        <v>82</v>
      </c>
      <c r="H109">
        <f>F109/E109*100</f>
        <v>97.61904761904762</v>
      </c>
      <c r="I109">
        <f t="shared" si="1"/>
        <v>-97.61904761904762</v>
      </c>
    </row>
    <row r="110" spans="1:17" x14ac:dyDescent="0.35">
      <c r="A110">
        <v>10</v>
      </c>
      <c r="B110" t="s">
        <v>25</v>
      </c>
      <c r="C110" t="s">
        <v>22</v>
      </c>
      <c r="D110" t="s">
        <v>9</v>
      </c>
      <c r="E110">
        <v>78</v>
      </c>
      <c r="F110">
        <v>68</v>
      </c>
      <c r="H110">
        <f>F110/E110*100</f>
        <v>87.179487179487182</v>
      </c>
      <c r="I110">
        <f t="shared" si="1"/>
        <v>-87.179487179487182</v>
      </c>
    </row>
    <row r="111" spans="1:17" x14ac:dyDescent="0.35">
      <c r="A111">
        <v>10</v>
      </c>
      <c r="B111" t="s">
        <v>25</v>
      </c>
      <c r="C111" t="s">
        <v>22</v>
      </c>
      <c r="D111" t="s">
        <v>10</v>
      </c>
      <c r="E111">
        <v>0</v>
      </c>
      <c r="F111" t="s">
        <v>20</v>
      </c>
      <c r="H111" t="e">
        <f>F111/E111*100</f>
        <v>#VALUE!</v>
      </c>
      <c r="I111" t="e">
        <f t="shared" si="1"/>
        <v>#VALUE!</v>
      </c>
    </row>
    <row r="112" spans="1:17" x14ac:dyDescent="0.35">
      <c r="A112">
        <v>10</v>
      </c>
      <c r="B112" t="s">
        <v>25</v>
      </c>
      <c r="C112" t="s">
        <v>22</v>
      </c>
      <c r="D112" t="s">
        <v>11</v>
      </c>
      <c r="E112">
        <v>59</v>
      </c>
      <c r="F112">
        <v>55</v>
      </c>
      <c r="H112">
        <f>F112/E112*100</f>
        <v>93.220338983050837</v>
      </c>
      <c r="I112">
        <f t="shared" si="1"/>
        <v>-93.220338983050837</v>
      </c>
    </row>
    <row r="113" spans="1:17" x14ac:dyDescent="0.35">
      <c r="A113">
        <v>10</v>
      </c>
      <c r="B113" t="s">
        <v>25</v>
      </c>
      <c r="C113" t="s">
        <v>23</v>
      </c>
      <c r="D113" t="s">
        <v>12</v>
      </c>
      <c r="E113">
        <v>58</v>
      </c>
      <c r="F113">
        <v>57</v>
      </c>
      <c r="H113">
        <f>F113/E113*100</f>
        <v>98.275862068965509</v>
      </c>
      <c r="I113">
        <f t="shared" si="1"/>
        <v>-98.275862068965509</v>
      </c>
      <c r="K113">
        <v>9</v>
      </c>
      <c r="N113">
        <v>9</v>
      </c>
      <c r="Q113">
        <v>0</v>
      </c>
    </row>
    <row r="114" spans="1:17" x14ac:dyDescent="0.35">
      <c r="A114">
        <v>10</v>
      </c>
      <c r="B114" t="s">
        <v>25</v>
      </c>
      <c r="C114" t="s">
        <v>23</v>
      </c>
      <c r="D114" t="s">
        <v>13</v>
      </c>
      <c r="E114">
        <v>62</v>
      </c>
      <c r="F114">
        <v>58</v>
      </c>
      <c r="H114">
        <f>F114/E114*100</f>
        <v>93.548387096774192</v>
      </c>
      <c r="I114">
        <f t="shared" si="1"/>
        <v>-93.548387096774192</v>
      </c>
    </row>
    <row r="115" spans="1:17" x14ac:dyDescent="0.35">
      <c r="A115">
        <v>10</v>
      </c>
      <c r="B115" t="s">
        <v>25</v>
      </c>
      <c r="C115" t="s">
        <v>23</v>
      </c>
      <c r="D115" t="s">
        <v>14</v>
      </c>
      <c r="E115">
        <v>98</v>
      </c>
      <c r="F115">
        <v>92</v>
      </c>
      <c r="H115">
        <f>F115/E115*100</f>
        <v>93.877551020408163</v>
      </c>
      <c r="I115">
        <f t="shared" si="1"/>
        <v>-93.877551020408163</v>
      </c>
    </row>
    <row r="116" spans="1:17" x14ac:dyDescent="0.35">
      <c r="A116">
        <v>10</v>
      </c>
      <c r="B116" t="s">
        <v>25</v>
      </c>
      <c r="C116" t="s">
        <v>23</v>
      </c>
      <c r="D116" t="s">
        <v>15</v>
      </c>
      <c r="E116">
        <v>88</v>
      </c>
      <c r="F116">
        <v>27</v>
      </c>
      <c r="H116">
        <f>F116/E116*100</f>
        <v>30.681818181818183</v>
      </c>
      <c r="I116">
        <f t="shared" si="1"/>
        <v>-30.681818181818183</v>
      </c>
    </row>
    <row r="117" spans="1:17" x14ac:dyDescent="0.35">
      <c r="A117">
        <v>10</v>
      </c>
      <c r="B117" t="s">
        <v>25</v>
      </c>
      <c r="C117" t="s">
        <v>23</v>
      </c>
      <c r="D117" t="s">
        <v>16</v>
      </c>
      <c r="E117">
        <v>130</v>
      </c>
      <c r="F117">
        <v>124</v>
      </c>
      <c r="H117">
        <f>F117/E117*100</f>
        <v>95.384615384615387</v>
      </c>
      <c r="I117">
        <f t="shared" si="1"/>
        <v>-95.384615384615387</v>
      </c>
    </row>
    <row r="118" spans="1:17" x14ac:dyDescent="0.35">
      <c r="A118">
        <v>10</v>
      </c>
      <c r="B118" t="s">
        <v>25</v>
      </c>
      <c r="C118" t="s">
        <v>23</v>
      </c>
      <c r="D118" t="s">
        <v>17</v>
      </c>
      <c r="E118">
        <v>86</v>
      </c>
      <c r="F118">
        <v>80</v>
      </c>
      <c r="H118">
        <f>F118/E118*100</f>
        <v>93.023255813953483</v>
      </c>
      <c r="I118">
        <f t="shared" si="1"/>
        <v>-93.023255813953483</v>
      </c>
    </row>
    <row r="119" spans="1:17" x14ac:dyDescent="0.35">
      <c r="A119">
        <v>10</v>
      </c>
      <c r="B119" t="s">
        <v>25</v>
      </c>
      <c r="C119" t="s">
        <v>23</v>
      </c>
      <c r="D119" t="s">
        <v>18</v>
      </c>
      <c r="E119">
        <v>109</v>
      </c>
      <c r="F119">
        <v>105</v>
      </c>
      <c r="H119">
        <f>F119/E119*100</f>
        <v>96.330275229357795</v>
      </c>
      <c r="I119">
        <f t="shared" si="1"/>
        <v>-96.330275229357795</v>
      </c>
    </row>
    <row r="120" spans="1:17" x14ac:dyDescent="0.35">
      <c r="A120">
        <v>10</v>
      </c>
      <c r="B120" t="s">
        <v>25</v>
      </c>
      <c r="C120" t="s">
        <v>23</v>
      </c>
      <c r="D120" t="s">
        <v>19</v>
      </c>
      <c r="E120">
        <v>115</v>
      </c>
      <c r="F120">
        <v>110</v>
      </c>
      <c r="H120">
        <f>F120/E120*100</f>
        <v>95.652173913043484</v>
      </c>
      <c r="I120">
        <f t="shared" si="1"/>
        <v>-95.652173913043484</v>
      </c>
    </row>
    <row r="121" spans="1:17" x14ac:dyDescent="0.35">
      <c r="A121">
        <v>11</v>
      </c>
      <c r="B121" t="s">
        <v>25</v>
      </c>
      <c r="C121" t="s">
        <v>23</v>
      </c>
      <c r="D121" t="s">
        <v>8</v>
      </c>
      <c r="E121">
        <v>94</v>
      </c>
      <c r="F121">
        <v>90</v>
      </c>
      <c r="H121">
        <f>F121/E121*100</f>
        <v>95.744680851063833</v>
      </c>
      <c r="I121">
        <f t="shared" si="1"/>
        <v>-95.744680851063833</v>
      </c>
    </row>
    <row r="122" spans="1:17" x14ac:dyDescent="0.35">
      <c r="A122">
        <v>12</v>
      </c>
      <c r="B122" t="s">
        <v>26</v>
      </c>
      <c r="C122" t="s">
        <v>6</v>
      </c>
      <c r="D122" t="s">
        <v>8</v>
      </c>
      <c r="E122">
        <v>49</v>
      </c>
      <c r="F122">
        <v>30</v>
      </c>
      <c r="H122">
        <f>F122/E122*100</f>
        <v>61.224489795918366</v>
      </c>
      <c r="I122">
        <f t="shared" si="1"/>
        <v>-61.224489795918366</v>
      </c>
      <c r="K122">
        <v>4</v>
      </c>
      <c r="N122">
        <v>8</v>
      </c>
      <c r="Q122">
        <v>40</v>
      </c>
    </row>
    <row r="123" spans="1:17" x14ac:dyDescent="0.35">
      <c r="A123">
        <v>12</v>
      </c>
      <c r="B123" t="s">
        <v>26</v>
      </c>
      <c r="C123" t="s">
        <v>6</v>
      </c>
      <c r="D123" t="s">
        <v>9</v>
      </c>
      <c r="E123">
        <v>17</v>
      </c>
      <c r="F123">
        <v>12</v>
      </c>
      <c r="H123">
        <f>F123/E123*100</f>
        <v>70.588235294117652</v>
      </c>
      <c r="I123">
        <f t="shared" si="1"/>
        <v>-70.588235294117652</v>
      </c>
    </row>
    <row r="124" spans="1:17" x14ac:dyDescent="0.35">
      <c r="A124">
        <v>12</v>
      </c>
      <c r="B124" t="s">
        <v>26</v>
      </c>
      <c r="C124" t="s">
        <v>6</v>
      </c>
      <c r="D124" t="s">
        <v>10</v>
      </c>
      <c r="E124">
        <v>124</v>
      </c>
      <c r="F124">
        <v>119</v>
      </c>
      <c r="H124">
        <f>F124/E124*100</f>
        <v>95.967741935483872</v>
      </c>
      <c r="I124">
        <f t="shared" si="1"/>
        <v>-95.967741935483872</v>
      </c>
    </row>
    <row r="125" spans="1:17" x14ac:dyDescent="0.35">
      <c r="A125">
        <v>12</v>
      </c>
      <c r="B125" t="s">
        <v>26</v>
      </c>
      <c r="C125" t="s">
        <v>6</v>
      </c>
      <c r="D125" t="s">
        <v>11</v>
      </c>
      <c r="E125">
        <v>96</v>
      </c>
      <c r="F125">
        <v>96</v>
      </c>
      <c r="H125">
        <f>F125/E125*100</f>
        <v>100</v>
      </c>
      <c r="I125">
        <f t="shared" si="1"/>
        <v>-100</v>
      </c>
    </row>
    <row r="126" spans="1:17" x14ac:dyDescent="0.35">
      <c r="A126">
        <v>12</v>
      </c>
      <c r="B126" t="s">
        <v>26</v>
      </c>
      <c r="C126" t="s">
        <v>7</v>
      </c>
      <c r="D126" t="s">
        <v>12</v>
      </c>
      <c r="E126">
        <v>0</v>
      </c>
      <c r="F126" t="s">
        <v>20</v>
      </c>
      <c r="H126" t="e">
        <f>F126/E126*100</f>
        <v>#VALUE!</v>
      </c>
      <c r="I126" t="e">
        <f t="shared" si="1"/>
        <v>#VALUE!</v>
      </c>
      <c r="K126">
        <v>7</v>
      </c>
      <c r="N126">
        <v>7</v>
      </c>
      <c r="Q126">
        <v>0</v>
      </c>
    </row>
    <row r="127" spans="1:17" x14ac:dyDescent="0.35">
      <c r="A127">
        <v>12</v>
      </c>
      <c r="B127" t="s">
        <v>26</v>
      </c>
      <c r="C127" t="s">
        <v>7</v>
      </c>
      <c r="D127" t="s">
        <v>13</v>
      </c>
      <c r="E127">
        <v>70</v>
      </c>
      <c r="F127">
        <v>61</v>
      </c>
      <c r="H127">
        <f>F127/E127*100</f>
        <v>87.142857142857139</v>
      </c>
      <c r="I127">
        <f t="shared" si="1"/>
        <v>-87.142857142857139</v>
      </c>
    </row>
    <row r="128" spans="1:17" x14ac:dyDescent="0.35">
      <c r="A128">
        <v>12</v>
      </c>
      <c r="B128" t="s">
        <v>26</v>
      </c>
      <c r="C128" t="s">
        <v>7</v>
      </c>
      <c r="D128" t="s">
        <v>14</v>
      </c>
      <c r="E128">
        <v>0</v>
      </c>
      <c r="F128" t="s">
        <v>20</v>
      </c>
      <c r="H128" t="e">
        <f>F128/E128*100</f>
        <v>#VALUE!</v>
      </c>
      <c r="I128" t="e">
        <f t="shared" si="1"/>
        <v>#VALUE!</v>
      </c>
    </row>
    <row r="129" spans="1:17" x14ac:dyDescent="0.35">
      <c r="A129">
        <v>12</v>
      </c>
      <c r="B129" t="s">
        <v>26</v>
      </c>
      <c r="C129" t="s">
        <v>7</v>
      </c>
      <c r="D129" t="s">
        <v>15</v>
      </c>
      <c r="E129">
        <v>0</v>
      </c>
      <c r="F129" t="s">
        <v>20</v>
      </c>
      <c r="H129" t="e">
        <f>F129/E129*100</f>
        <v>#VALUE!</v>
      </c>
      <c r="I129" t="e">
        <f t="shared" si="1"/>
        <v>#VALUE!</v>
      </c>
    </row>
    <row r="130" spans="1:17" x14ac:dyDescent="0.35">
      <c r="A130">
        <v>12</v>
      </c>
      <c r="B130" t="s">
        <v>26</v>
      </c>
      <c r="C130" t="s">
        <v>7</v>
      </c>
      <c r="D130" t="s">
        <v>16</v>
      </c>
      <c r="E130">
        <v>0</v>
      </c>
      <c r="F130" t="s">
        <v>20</v>
      </c>
      <c r="H130" t="e">
        <f>F130/E130*100</f>
        <v>#VALUE!</v>
      </c>
      <c r="I130" t="e">
        <f t="shared" si="1"/>
        <v>#VALUE!</v>
      </c>
    </row>
    <row r="131" spans="1:17" x14ac:dyDescent="0.35">
      <c r="A131">
        <v>12</v>
      </c>
      <c r="B131" t="s">
        <v>26</v>
      </c>
      <c r="C131" t="s">
        <v>7</v>
      </c>
      <c r="D131" t="s">
        <v>17</v>
      </c>
      <c r="E131">
        <v>19</v>
      </c>
      <c r="F131">
        <v>16</v>
      </c>
      <c r="H131">
        <f>F131/E131*100</f>
        <v>84.210526315789465</v>
      </c>
      <c r="I131">
        <f t="shared" ref="I131:I185" si="2">H131*-1</f>
        <v>-84.210526315789465</v>
      </c>
    </row>
    <row r="132" spans="1:17" x14ac:dyDescent="0.35">
      <c r="A132">
        <v>12</v>
      </c>
      <c r="B132" t="s">
        <v>26</v>
      </c>
      <c r="C132" t="s">
        <v>7</v>
      </c>
      <c r="D132" t="s">
        <v>18</v>
      </c>
      <c r="E132">
        <v>0</v>
      </c>
      <c r="F132" t="s">
        <v>20</v>
      </c>
      <c r="H132" t="e">
        <f>F132/E132*100</f>
        <v>#VALUE!</v>
      </c>
      <c r="I132" t="e">
        <f t="shared" si="2"/>
        <v>#VALUE!</v>
      </c>
    </row>
    <row r="133" spans="1:17" x14ac:dyDescent="0.35">
      <c r="A133">
        <v>13</v>
      </c>
      <c r="B133" t="s">
        <v>26</v>
      </c>
      <c r="C133" t="s">
        <v>21</v>
      </c>
      <c r="D133" t="s">
        <v>8</v>
      </c>
      <c r="E133">
        <v>0</v>
      </c>
      <c r="F133" t="s">
        <v>20</v>
      </c>
      <c r="H133" t="e">
        <f>F133/E133*100</f>
        <v>#VALUE!</v>
      </c>
      <c r="I133" t="e">
        <f t="shared" si="2"/>
        <v>#VALUE!</v>
      </c>
      <c r="K133">
        <v>8</v>
      </c>
      <c r="N133">
        <v>9</v>
      </c>
      <c r="Q133">
        <v>20</v>
      </c>
    </row>
    <row r="134" spans="1:17" x14ac:dyDescent="0.35">
      <c r="A134">
        <v>13</v>
      </c>
      <c r="B134" t="s">
        <v>26</v>
      </c>
      <c r="C134" t="s">
        <v>21</v>
      </c>
      <c r="D134" t="s">
        <v>9</v>
      </c>
      <c r="E134">
        <v>0</v>
      </c>
      <c r="F134" t="s">
        <v>20</v>
      </c>
      <c r="H134" t="e">
        <f>F134/E134*100</f>
        <v>#VALUE!</v>
      </c>
      <c r="I134" t="e">
        <f t="shared" si="2"/>
        <v>#VALUE!</v>
      </c>
    </row>
    <row r="135" spans="1:17" x14ac:dyDescent="0.35">
      <c r="A135">
        <v>13</v>
      </c>
      <c r="B135" t="s">
        <v>26</v>
      </c>
      <c r="C135" t="s">
        <v>21</v>
      </c>
      <c r="D135" t="s">
        <v>10</v>
      </c>
      <c r="E135">
        <v>29</v>
      </c>
      <c r="F135">
        <v>22</v>
      </c>
      <c r="H135">
        <f>F135/E135*100</f>
        <v>75.862068965517238</v>
      </c>
      <c r="I135">
        <f t="shared" si="2"/>
        <v>-75.862068965517238</v>
      </c>
    </row>
    <row r="136" spans="1:17" x14ac:dyDescent="0.35">
      <c r="A136">
        <v>13</v>
      </c>
      <c r="B136" t="s">
        <v>26</v>
      </c>
      <c r="C136" t="s">
        <v>21</v>
      </c>
      <c r="D136" t="s">
        <v>11</v>
      </c>
      <c r="E136">
        <v>112</v>
      </c>
      <c r="F136">
        <v>109</v>
      </c>
      <c r="H136">
        <f>F136/E136*100</f>
        <v>97.321428571428569</v>
      </c>
      <c r="I136">
        <f t="shared" si="2"/>
        <v>-97.321428571428569</v>
      </c>
    </row>
    <row r="137" spans="1:17" x14ac:dyDescent="0.35">
      <c r="A137">
        <v>13</v>
      </c>
      <c r="B137" t="s">
        <v>26</v>
      </c>
      <c r="C137" t="s">
        <v>21</v>
      </c>
      <c r="D137" t="s">
        <v>12</v>
      </c>
      <c r="E137">
        <v>0</v>
      </c>
      <c r="F137" t="s">
        <v>20</v>
      </c>
      <c r="H137" t="e">
        <f>F137/E137*100</f>
        <v>#VALUE!</v>
      </c>
      <c r="I137" t="e">
        <f t="shared" si="2"/>
        <v>#VALUE!</v>
      </c>
    </row>
    <row r="138" spans="1:17" x14ac:dyDescent="0.35">
      <c r="A138">
        <v>13</v>
      </c>
      <c r="B138" t="s">
        <v>26</v>
      </c>
      <c r="C138" t="s">
        <v>21</v>
      </c>
      <c r="D138" t="s">
        <v>13</v>
      </c>
      <c r="E138">
        <v>79</v>
      </c>
      <c r="F138">
        <v>62</v>
      </c>
      <c r="H138">
        <f>F138/E138*100</f>
        <v>78.48101265822784</v>
      </c>
      <c r="I138">
        <f t="shared" si="2"/>
        <v>-78.48101265822784</v>
      </c>
    </row>
    <row r="139" spans="1:17" x14ac:dyDescent="0.35">
      <c r="A139">
        <v>13</v>
      </c>
      <c r="B139" t="s">
        <v>26</v>
      </c>
      <c r="C139" t="s">
        <v>21</v>
      </c>
      <c r="D139" t="s">
        <v>14</v>
      </c>
      <c r="E139">
        <v>0</v>
      </c>
      <c r="F139" t="s">
        <v>20</v>
      </c>
      <c r="H139" t="e">
        <f>F139/E139*100</f>
        <v>#VALUE!</v>
      </c>
      <c r="I139" t="e">
        <f t="shared" si="2"/>
        <v>#VALUE!</v>
      </c>
    </row>
    <row r="140" spans="1:17" x14ac:dyDescent="0.35">
      <c r="A140">
        <v>13</v>
      </c>
      <c r="B140" t="s">
        <v>26</v>
      </c>
      <c r="C140" t="s">
        <v>21</v>
      </c>
      <c r="D140" t="s">
        <v>15</v>
      </c>
      <c r="E140">
        <v>0</v>
      </c>
      <c r="F140" t="s">
        <v>20</v>
      </c>
      <c r="H140" t="e">
        <f>F140/E140*100</f>
        <v>#VALUE!</v>
      </c>
      <c r="I140" t="e">
        <f t="shared" si="2"/>
        <v>#VALUE!</v>
      </c>
    </row>
    <row r="141" spans="1:17" x14ac:dyDescent="0.35">
      <c r="A141">
        <v>13</v>
      </c>
      <c r="B141" t="s">
        <v>26</v>
      </c>
      <c r="C141" t="s">
        <v>22</v>
      </c>
      <c r="D141" t="s">
        <v>16</v>
      </c>
      <c r="E141">
        <v>143</v>
      </c>
      <c r="F141">
        <v>134</v>
      </c>
      <c r="H141">
        <f>F141/E141*100</f>
        <v>93.706293706293707</v>
      </c>
      <c r="I141">
        <f t="shared" si="2"/>
        <v>-93.706293706293707</v>
      </c>
      <c r="K141">
        <v>5</v>
      </c>
      <c r="N141">
        <v>8</v>
      </c>
      <c r="Q141">
        <v>30</v>
      </c>
    </row>
    <row r="142" spans="1:17" x14ac:dyDescent="0.35">
      <c r="A142">
        <v>13</v>
      </c>
      <c r="B142" t="s">
        <v>26</v>
      </c>
      <c r="C142" t="s">
        <v>22</v>
      </c>
      <c r="D142" t="s">
        <v>17</v>
      </c>
      <c r="E142">
        <v>0</v>
      </c>
      <c r="F142" t="s">
        <v>20</v>
      </c>
      <c r="H142" t="e">
        <f>F142/E142*100</f>
        <v>#VALUE!</v>
      </c>
      <c r="I142" t="e">
        <f t="shared" si="2"/>
        <v>#VALUE!</v>
      </c>
    </row>
    <row r="143" spans="1:17" x14ac:dyDescent="0.35">
      <c r="A143">
        <v>13</v>
      </c>
      <c r="B143" t="s">
        <v>26</v>
      </c>
      <c r="C143" t="s">
        <v>22</v>
      </c>
      <c r="D143" t="s">
        <v>18</v>
      </c>
      <c r="E143">
        <v>50</v>
      </c>
      <c r="F143">
        <v>47</v>
      </c>
      <c r="H143">
        <f>F143/E143*100</f>
        <v>94</v>
      </c>
      <c r="I143">
        <f t="shared" si="2"/>
        <v>-94</v>
      </c>
    </row>
    <row r="144" spans="1:17" x14ac:dyDescent="0.35">
      <c r="A144">
        <v>13</v>
      </c>
      <c r="B144" t="s">
        <v>26</v>
      </c>
      <c r="C144" t="s">
        <v>22</v>
      </c>
      <c r="D144" t="s">
        <v>19</v>
      </c>
      <c r="E144">
        <v>93</v>
      </c>
      <c r="F144">
        <v>90</v>
      </c>
      <c r="H144">
        <f>F144/E144*100</f>
        <v>96.774193548387103</v>
      </c>
      <c r="I144">
        <f t="shared" si="2"/>
        <v>-96.774193548387103</v>
      </c>
    </row>
    <row r="145" spans="1:17" x14ac:dyDescent="0.35">
      <c r="A145">
        <v>14</v>
      </c>
      <c r="B145" t="s">
        <v>26</v>
      </c>
      <c r="C145" t="s">
        <v>22</v>
      </c>
      <c r="D145" t="s">
        <v>8</v>
      </c>
      <c r="E145">
        <v>33</v>
      </c>
      <c r="F145">
        <v>26</v>
      </c>
      <c r="H145">
        <f>F145/E145*100</f>
        <v>78.787878787878782</v>
      </c>
      <c r="I145">
        <f t="shared" si="2"/>
        <v>-78.787878787878782</v>
      </c>
    </row>
    <row r="146" spans="1:17" x14ac:dyDescent="0.35">
      <c r="A146">
        <v>14</v>
      </c>
      <c r="B146" t="s">
        <v>26</v>
      </c>
      <c r="C146" t="s">
        <v>23</v>
      </c>
      <c r="D146" t="s">
        <v>9</v>
      </c>
      <c r="E146">
        <v>4</v>
      </c>
      <c r="F146">
        <v>2</v>
      </c>
      <c r="H146">
        <f>F146/E146*100</f>
        <v>50</v>
      </c>
      <c r="I146">
        <f t="shared" si="2"/>
        <v>-50</v>
      </c>
      <c r="K146">
        <v>5</v>
      </c>
      <c r="N146">
        <v>6</v>
      </c>
      <c r="Q146">
        <v>10</v>
      </c>
    </row>
    <row r="147" spans="1:17" x14ac:dyDescent="0.35">
      <c r="A147">
        <v>14</v>
      </c>
      <c r="B147" t="s">
        <v>26</v>
      </c>
      <c r="C147" t="s">
        <v>23</v>
      </c>
      <c r="D147" t="s">
        <v>10</v>
      </c>
      <c r="E147">
        <v>79</v>
      </c>
      <c r="F147">
        <v>74</v>
      </c>
      <c r="H147">
        <f>F147/E147*100</f>
        <v>93.670886075949369</v>
      </c>
      <c r="I147">
        <f t="shared" si="2"/>
        <v>-93.670886075949369</v>
      </c>
    </row>
    <row r="148" spans="1:17" x14ac:dyDescent="0.35">
      <c r="A148">
        <v>14</v>
      </c>
      <c r="B148" t="s">
        <v>26</v>
      </c>
      <c r="C148" t="s">
        <v>23</v>
      </c>
      <c r="D148" t="s">
        <v>11</v>
      </c>
      <c r="E148">
        <v>103</v>
      </c>
      <c r="F148">
        <v>95</v>
      </c>
      <c r="H148">
        <f>F148/E148*100</f>
        <v>92.233009708737868</v>
      </c>
      <c r="I148">
        <f t="shared" si="2"/>
        <v>-92.233009708737868</v>
      </c>
    </row>
    <row r="149" spans="1:17" x14ac:dyDescent="0.35">
      <c r="A149">
        <v>14</v>
      </c>
      <c r="B149" t="s">
        <v>26</v>
      </c>
      <c r="C149" t="s">
        <v>23</v>
      </c>
      <c r="D149" t="s">
        <v>12</v>
      </c>
      <c r="E149">
        <v>4</v>
      </c>
      <c r="F149">
        <v>1</v>
      </c>
      <c r="H149">
        <f>F149/E149*100</f>
        <v>25</v>
      </c>
      <c r="I149">
        <f t="shared" si="2"/>
        <v>-25</v>
      </c>
    </row>
    <row r="150" spans="1:17" x14ac:dyDescent="0.35">
      <c r="A150">
        <v>14</v>
      </c>
      <c r="B150" t="s">
        <v>26</v>
      </c>
      <c r="C150" t="s">
        <v>23</v>
      </c>
      <c r="D150" t="s">
        <v>13</v>
      </c>
      <c r="E150">
        <v>0</v>
      </c>
      <c r="F150" t="s">
        <v>20</v>
      </c>
      <c r="H150" t="e">
        <f>F150/E150*100</f>
        <v>#VALUE!</v>
      </c>
      <c r="I150" t="e">
        <f t="shared" si="2"/>
        <v>#VALUE!</v>
      </c>
    </row>
    <row r="151" spans="1:17" x14ac:dyDescent="0.35">
      <c r="A151">
        <v>14</v>
      </c>
      <c r="B151" t="s">
        <v>27</v>
      </c>
      <c r="C151" t="s">
        <v>6</v>
      </c>
      <c r="D151" t="s">
        <v>14</v>
      </c>
      <c r="E151">
        <v>99</v>
      </c>
      <c r="F151">
        <v>96</v>
      </c>
      <c r="H151">
        <f>F151/E151*100</f>
        <v>96.969696969696969</v>
      </c>
      <c r="I151">
        <f t="shared" si="2"/>
        <v>-96.969696969696969</v>
      </c>
      <c r="K151">
        <v>6</v>
      </c>
      <c r="N151">
        <v>6</v>
      </c>
      <c r="Q151">
        <v>0</v>
      </c>
    </row>
    <row r="152" spans="1:17" x14ac:dyDescent="0.35">
      <c r="A152">
        <v>14</v>
      </c>
      <c r="B152" t="s">
        <v>27</v>
      </c>
      <c r="C152" t="s">
        <v>6</v>
      </c>
      <c r="D152" t="s">
        <v>15</v>
      </c>
      <c r="E152">
        <v>131</v>
      </c>
      <c r="F152">
        <v>127</v>
      </c>
      <c r="H152">
        <f>F152/E152*100</f>
        <v>96.946564885496173</v>
      </c>
      <c r="I152">
        <f t="shared" si="2"/>
        <v>-96.946564885496173</v>
      </c>
    </row>
    <row r="153" spans="1:17" x14ac:dyDescent="0.35">
      <c r="A153">
        <v>14</v>
      </c>
      <c r="B153" t="s">
        <v>27</v>
      </c>
      <c r="C153" t="s">
        <v>6</v>
      </c>
      <c r="D153" t="s">
        <v>16</v>
      </c>
      <c r="E153">
        <v>56</v>
      </c>
      <c r="F153">
        <v>50</v>
      </c>
      <c r="H153">
        <f>F153/E153*100</f>
        <v>89.285714285714292</v>
      </c>
      <c r="I153">
        <f t="shared" si="2"/>
        <v>-89.285714285714292</v>
      </c>
    </row>
    <row r="154" spans="1:17" x14ac:dyDescent="0.35">
      <c r="A154">
        <v>14</v>
      </c>
      <c r="B154" t="s">
        <v>27</v>
      </c>
      <c r="C154" t="s">
        <v>6</v>
      </c>
      <c r="D154" t="s">
        <v>17</v>
      </c>
      <c r="E154">
        <v>134</v>
      </c>
      <c r="F154">
        <v>128</v>
      </c>
      <c r="H154">
        <f>F154/E154*100</f>
        <v>95.522388059701484</v>
      </c>
      <c r="I154">
        <f t="shared" si="2"/>
        <v>-95.522388059701484</v>
      </c>
    </row>
    <row r="155" spans="1:17" x14ac:dyDescent="0.35">
      <c r="A155">
        <v>14</v>
      </c>
      <c r="B155" t="s">
        <v>27</v>
      </c>
      <c r="C155" t="s">
        <v>6</v>
      </c>
      <c r="D155" t="s">
        <v>18</v>
      </c>
      <c r="E155">
        <v>113</v>
      </c>
      <c r="F155">
        <v>108</v>
      </c>
      <c r="H155">
        <f>F155/E155*100</f>
        <v>95.575221238938056</v>
      </c>
      <c r="I155">
        <f t="shared" si="2"/>
        <v>-95.575221238938056</v>
      </c>
    </row>
    <row r="156" spans="1:17" x14ac:dyDescent="0.35">
      <c r="A156">
        <v>14</v>
      </c>
      <c r="B156" t="s">
        <v>27</v>
      </c>
      <c r="C156" t="s">
        <v>6</v>
      </c>
      <c r="D156" t="s">
        <v>19</v>
      </c>
      <c r="E156">
        <v>0</v>
      </c>
      <c r="F156" t="s">
        <v>20</v>
      </c>
      <c r="H156" t="e">
        <f>F156/E156*100</f>
        <v>#VALUE!</v>
      </c>
      <c r="I156" t="e">
        <f t="shared" si="2"/>
        <v>#VALUE!</v>
      </c>
    </row>
    <row r="157" spans="1:17" x14ac:dyDescent="0.35">
      <c r="A157">
        <v>15</v>
      </c>
      <c r="B157" t="s">
        <v>27</v>
      </c>
      <c r="C157" t="s">
        <v>7</v>
      </c>
      <c r="D157" t="s">
        <v>8</v>
      </c>
      <c r="E157">
        <v>105</v>
      </c>
      <c r="F157">
        <v>90</v>
      </c>
      <c r="H157">
        <f>F157/E157*100</f>
        <v>85.714285714285708</v>
      </c>
      <c r="I157">
        <f t="shared" si="2"/>
        <v>-85.714285714285708</v>
      </c>
      <c r="K157">
        <v>8</v>
      </c>
      <c r="N157">
        <v>8</v>
      </c>
      <c r="Q157">
        <v>0</v>
      </c>
    </row>
    <row r="158" spans="1:17" x14ac:dyDescent="0.35">
      <c r="A158">
        <v>15</v>
      </c>
      <c r="B158" t="s">
        <v>27</v>
      </c>
      <c r="C158" t="s">
        <v>7</v>
      </c>
      <c r="D158" t="s">
        <v>9</v>
      </c>
      <c r="E158">
        <v>0</v>
      </c>
      <c r="F158" t="s">
        <v>20</v>
      </c>
      <c r="H158" t="e">
        <f>F158/E158*100</f>
        <v>#VALUE!</v>
      </c>
      <c r="I158" t="e">
        <f t="shared" si="2"/>
        <v>#VALUE!</v>
      </c>
    </row>
    <row r="159" spans="1:17" x14ac:dyDescent="0.35">
      <c r="A159">
        <v>15</v>
      </c>
      <c r="B159" t="s">
        <v>27</v>
      </c>
      <c r="C159" t="s">
        <v>7</v>
      </c>
      <c r="D159" t="s">
        <v>10</v>
      </c>
      <c r="E159">
        <v>0</v>
      </c>
      <c r="F159" t="s">
        <v>20</v>
      </c>
      <c r="H159" t="e">
        <f>F159/E159*100</f>
        <v>#VALUE!</v>
      </c>
      <c r="I159" t="e">
        <f t="shared" si="2"/>
        <v>#VALUE!</v>
      </c>
    </row>
    <row r="160" spans="1:17" x14ac:dyDescent="0.35">
      <c r="A160">
        <v>15</v>
      </c>
      <c r="B160" t="s">
        <v>27</v>
      </c>
      <c r="C160" t="s">
        <v>7</v>
      </c>
      <c r="D160" t="s">
        <v>11</v>
      </c>
      <c r="E160">
        <v>117</v>
      </c>
      <c r="F160">
        <v>107</v>
      </c>
      <c r="H160">
        <f>F160/E160*100</f>
        <v>91.452991452991455</v>
      </c>
      <c r="I160">
        <f t="shared" si="2"/>
        <v>-91.452991452991455</v>
      </c>
    </row>
    <row r="161" spans="1:17" x14ac:dyDescent="0.35">
      <c r="A161">
        <v>15</v>
      </c>
      <c r="B161" t="s">
        <v>27</v>
      </c>
      <c r="C161" t="s">
        <v>7</v>
      </c>
      <c r="D161" t="s">
        <v>12</v>
      </c>
      <c r="E161">
        <v>150</v>
      </c>
      <c r="F161">
        <v>146</v>
      </c>
      <c r="H161">
        <f>F161/E161*100</f>
        <v>97.333333333333343</v>
      </c>
      <c r="I161">
        <f t="shared" si="2"/>
        <v>-97.333333333333343</v>
      </c>
    </row>
    <row r="162" spans="1:17" x14ac:dyDescent="0.35">
      <c r="A162">
        <v>15</v>
      </c>
      <c r="B162" t="s">
        <v>27</v>
      </c>
      <c r="C162" t="s">
        <v>7</v>
      </c>
      <c r="D162" t="s">
        <v>13</v>
      </c>
      <c r="E162">
        <v>115</v>
      </c>
      <c r="F162">
        <v>105</v>
      </c>
      <c r="H162">
        <f>F162/E162*100</f>
        <v>91.304347826086953</v>
      </c>
      <c r="I162">
        <f t="shared" si="2"/>
        <v>-91.304347826086953</v>
      </c>
    </row>
    <row r="163" spans="1:17" x14ac:dyDescent="0.35">
      <c r="A163">
        <v>15</v>
      </c>
      <c r="B163" t="s">
        <v>27</v>
      </c>
      <c r="C163" t="s">
        <v>7</v>
      </c>
      <c r="D163" t="s">
        <v>14</v>
      </c>
      <c r="E163">
        <v>43</v>
      </c>
      <c r="F163">
        <v>39</v>
      </c>
      <c r="H163">
        <f>F163/E163*100</f>
        <v>90.697674418604649</v>
      </c>
      <c r="I163">
        <f t="shared" si="2"/>
        <v>-90.697674418604649</v>
      </c>
    </row>
    <row r="164" spans="1:17" x14ac:dyDescent="0.35">
      <c r="A164">
        <v>15</v>
      </c>
      <c r="B164" t="s">
        <v>27</v>
      </c>
      <c r="C164" t="s">
        <v>7</v>
      </c>
      <c r="D164" t="s">
        <v>15</v>
      </c>
      <c r="E164">
        <v>77</v>
      </c>
      <c r="F164">
        <v>75</v>
      </c>
      <c r="H164">
        <f>F164/E164*100</f>
        <v>97.402597402597408</v>
      </c>
      <c r="I164">
        <f t="shared" si="2"/>
        <v>-97.402597402597408</v>
      </c>
    </row>
    <row r="165" spans="1:17" x14ac:dyDescent="0.35">
      <c r="A165">
        <v>15</v>
      </c>
      <c r="B165" t="s">
        <v>27</v>
      </c>
      <c r="C165" t="s">
        <v>21</v>
      </c>
      <c r="D165" t="s">
        <v>16</v>
      </c>
      <c r="E165">
        <v>0</v>
      </c>
      <c r="F165" t="s">
        <v>20</v>
      </c>
      <c r="H165" t="e">
        <f>F165/E165*100</f>
        <v>#VALUE!</v>
      </c>
      <c r="I165" t="e">
        <f t="shared" si="2"/>
        <v>#VALUE!</v>
      </c>
      <c r="K165">
        <v>4</v>
      </c>
      <c r="N165">
        <v>5</v>
      </c>
      <c r="Q165">
        <v>10</v>
      </c>
    </row>
    <row r="166" spans="1:17" x14ac:dyDescent="0.35">
      <c r="A166">
        <v>15</v>
      </c>
      <c r="B166" t="s">
        <v>27</v>
      </c>
      <c r="C166" t="s">
        <v>21</v>
      </c>
      <c r="D166" t="s">
        <v>17</v>
      </c>
      <c r="E166">
        <v>160</v>
      </c>
      <c r="F166">
        <v>145</v>
      </c>
      <c r="H166">
        <f>F166/E166*100</f>
        <v>90.625</v>
      </c>
      <c r="I166">
        <f t="shared" si="2"/>
        <v>-90.625</v>
      </c>
    </row>
    <row r="167" spans="1:17" x14ac:dyDescent="0.35">
      <c r="A167">
        <v>15</v>
      </c>
      <c r="B167" t="s">
        <v>27</v>
      </c>
      <c r="C167" t="s">
        <v>21</v>
      </c>
      <c r="D167" t="s">
        <v>18</v>
      </c>
      <c r="E167">
        <v>0</v>
      </c>
      <c r="F167" t="s">
        <v>20</v>
      </c>
      <c r="H167" t="e">
        <f>F167/E167*100</f>
        <v>#VALUE!</v>
      </c>
      <c r="I167" t="e">
        <f t="shared" si="2"/>
        <v>#VALUE!</v>
      </c>
    </row>
    <row r="168" spans="1:17" x14ac:dyDescent="0.35">
      <c r="A168">
        <v>15</v>
      </c>
      <c r="B168" t="s">
        <v>27</v>
      </c>
      <c r="C168" t="s">
        <v>21</v>
      </c>
      <c r="D168" t="s">
        <v>19</v>
      </c>
      <c r="E168">
        <v>191</v>
      </c>
      <c r="F168">
        <v>189</v>
      </c>
      <c r="H168">
        <f>F168/E168*100</f>
        <v>98.952879581151834</v>
      </c>
      <c r="I168">
        <f t="shared" si="2"/>
        <v>-98.952879581151834</v>
      </c>
    </row>
    <row r="169" spans="1:17" x14ac:dyDescent="0.35">
      <c r="A169">
        <v>16</v>
      </c>
      <c r="B169" t="s">
        <v>27</v>
      </c>
      <c r="C169" t="s">
        <v>22</v>
      </c>
      <c r="D169" t="s">
        <v>8</v>
      </c>
      <c r="E169">
        <v>109</v>
      </c>
      <c r="F169">
        <v>98</v>
      </c>
      <c r="H169">
        <f>F169/E169*100</f>
        <v>89.908256880733944</v>
      </c>
      <c r="I169">
        <f t="shared" si="2"/>
        <v>-89.908256880733944</v>
      </c>
      <c r="K169">
        <v>9</v>
      </c>
      <c r="N169">
        <v>10</v>
      </c>
      <c r="Q169">
        <v>10</v>
      </c>
    </row>
    <row r="170" spans="1:17" x14ac:dyDescent="0.35">
      <c r="A170">
        <v>16</v>
      </c>
      <c r="B170" t="s">
        <v>27</v>
      </c>
      <c r="C170" t="s">
        <v>22</v>
      </c>
      <c r="D170" t="s">
        <v>9</v>
      </c>
      <c r="E170">
        <v>141</v>
      </c>
      <c r="F170">
        <v>100</v>
      </c>
      <c r="H170">
        <f>F170/E170*100</f>
        <v>70.921985815602838</v>
      </c>
      <c r="I170">
        <f t="shared" si="2"/>
        <v>-70.921985815602838</v>
      </c>
    </row>
    <row r="171" spans="1:17" x14ac:dyDescent="0.35">
      <c r="A171">
        <v>16</v>
      </c>
      <c r="B171" t="s">
        <v>27</v>
      </c>
      <c r="C171" t="s">
        <v>22</v>
      </c>
      <c r="D171" t="s">
        <v>10</v>
      </c>
      <c r="E171">
        <v>0</v>
      </c>
      <c r="F171" t="s">
        <v>20</v>
      </c>
      <c r="H171" t="e">
        <f>F171/E171*100</f>
        <v>#VALUE!</v>
      </c>
      <c r="I171" t="e">
        <f t="shared" si="2"/>
        <v>#VALUE!</v>
      </c>
    </row>
    <row r="172" spans="1:17" x14ac:dyDescent="0.35">
      <c r="A172">
        <v>16</v>
      </c>
      <c r="B172" t="s">
        <v>27</v>
      </c>
      <c r="C172" t="s">
        <v>22</v>
      </c>
      <c r="D172" t="s">
        <v>11</v>
      </c>
      <c r="E172">
        <v>57</v>
      </c>
      <c r="F172">
        <v>56</v>
      </c>
      <c r="H172">
        <f>F172/E172*100</f>
        <v>98.245614035087712</v>
      </c>
      <c r="I172">
        <f t="shared" si="2"/>
        <v>-98.245614035087712</v>
      </c>
    </row>
    <row r="173" spans="1:17" x14ac:dyDescent="0.35">
      <c r="A173">
        <v>16</v>
      </c>
      <c r="B173" t="s">
        <v>27</v>
      </c>
      <c r="C173" t="s">
        <v>22</v>
      </c>
      <c r="D173" t="s">
        <v>12</v>
      </c>
      <c r="E173">
        <v>0</v>
      </c>
      <c r="F173" t="s">
        <v>20</v>
      </c>
      <c r="H173" t="e">
        <f>F173/E173*100</f>
        <v>#VALUE!</v>
      </c>
      <c r="I173" t="e">
        <f t="shared" si="2"/>
        <v>#VALUE!</v>
      </c>
    </row>
    <row r="174" spans="1:17" x14ac:dyDescent="0.35">
      <c r="A174">
        <v>16</v>
      </c>
      <c r="B174" t="s">
        <v>27</v>
      </c>
      <c r="C174" t="s">
        <v>22</v>
      </c>
      <c r="D174" t="s">
        <v>13</v>
      </c>
      <c r="E174">
        <v>0</v>
      </c>
      <c r="F174" t="s">
        <v>20</v>
      </c>
      <c r="H174" t="e">
        <f>F174/E174*100</f>
        <v>#VALUE!</v>
      </c>
      <c r="I174" t="e">
        <f t="shared" si="2"/>
        <v>#VALUE!</v>
      </c>
    </row>
    <row r="175" spans="1:17" x14ac:dyDescent="0.35">
      <c r="A175">
        <v>16</v>
      </c>
      <c r="B175" t="s">
        <v>27</v>
      </c>
      <c r="C175" t="s">
        <v>22</v>
      </c>
      <c r="D175" t="s">
        <v>14</v>
      </c>
      <c r="E175">
        <v>150</v>
      </c>
      <c r="F175">
        <v>68</v>
      </c>
      <c r="H175">
        <f>F175/E175*100</f>
        <v>45.333333333333329</v>
      </c>
      <c r="I175">
        <f t="shared" si="2"/>
        <v>-45.333333333333329</v>
      </c>
    </row>
    <row r="176" spans="1:17" x14ac:dyDescent="0.35">
      <c r="A176">
        <v>16</v>
      </c>
      <c r="B176" t="s">
        <v>27</v>
      </c>
      <c r="C176" t="s">
        <v>22</v>
      </c>
      <c r="D176" t="s">
        <v>15</v>
      </c>
      <c r="E176">
        <v>0</v>
      </c>
      <c r="F176" t="s">
        <v>20</v>
      </c>
      <c r="H176" t="e">
        <f>F176/E176*100</f>
        <v>#VALUE!</v>
      </c>
      <c r="I176" t="e">
        <f t="shared" si="2"/>
        <v>#VALUE!</v>
      </c>
    </row>
    <row r="177" spans="1:17" x14ac:dyDescent="0.35">
      <c r="A177">
        <v>16</v>
      </c>
      <c r="B177" t="s">
        <v>27</v>
      </c>
      <c r="C177" t="s">
        <v>22</v>
      </c>
      <c r="D177" t="s">
        <v>16</v>
      </c>
      <c r="E177">
        <v>0</v>
      </c>
      <c r="F177" t="s">
        <v>20</v>
      </c>
      <c r="H177" t="e">
        <f>F177/E177*100</f>
        <v>#VALUE!</v>
      </c>
      <c r="I177" t="e">
        <f t="shared" si="2"/>
        <v>#VALUE!</v>
      </c>
    </row>
    <row r="178" spans="1:17" x14ac:dyDescent="0.35">
      <c r="A178">
        <v>16</v>
      </c>
      <c r="B178" t="s">
        <v>27</v>
      </c>
      <c r="C178" t="s">
        <v>23</v>
      </c>
      <c r="D178" t="s">
        <v>17</v>
      </c>
      <c r="E178">
        <v>106</v>
      </c>
      <c r="F178">
        <v>101</v>
      </c>
      <c r="H178">
        <f>F178/E178*100</f>
        <v>95.283018867924525</v>
      </c>
      <c r="I178">
        <f t="shared" si="2"/>
        <v>-95.283018867924525</v>
      </c>
      <c r="K178">
        <v>8</v>
      </c>
      <c r="N178">
        <v>9</v>
      </c>
      <c r="Q178">
        <v>10</v>
      </c>
    </row>
    <row r="179" spans="1:17" x14ac:dyDescent="0.35">
      <c r="A179">
        <v>16</v>
      </c>
      <c r="B179" t="s">
        <v>27</v>
      </c>
      <c r="C179" t="s">
        <v>23</v>
      </c>
      <c r="D179" t="s">
        <v>18</v>
      </c>
      <c r="E179" s="2">
        <v>0</v>
      </c>
      <c r="F179" s="2">
        <v>0</v>
      </c>
      <c r="G179" s="2"/>
      <c r="H179" s="2" t="e">
        <f>F179/E179*100</f>
        <v>#DIV/0!</v>
      </c>
      <c r="I179" t="e">
        <f t="shared" si="2"/>
        <v>#DIV/0!</v>
      </c>
    </row>
    <row r="180" spans="1:17" x14ac:dyDescent="0.35">
      <c r="A180">
        <v>16</v>
      </c>
      <c r="B180" t="s">
        <v>27</v>
      </c>
      <c r="C180" t="s">
        <v>23</v>
      </c>
      <c r="D180" t="s">
        <v>19</v>
      </c>
      <c r="E180">
        <v>0</v>
      </c>
      <c r="F180" t="s">
        <v>20</v>
      </c>
      <c r="H180" t="e">
        <f>F180/E180*100</f>
        <v>#VALUE!</v>
      </c>
      <c r="I180" t="e">
        <f t="shared" si="2"/>
        <v>#VALUE!</v>
      </c>
    </row>
    <row r="181" spans="1:17" x14ac:dyDescent="0.35">
      <c r="A181">
        <v>17</v>
      </c>
      <c r="B181" t="s">
        <v>27</v>
      </c>
      <c r="C181" t="s">
        <v>23</v>
      </c>
      <c r="D181" t="s">
        <v>8</v>
      </c>
      <c r="E181">
        <v>135</v>
      </c>
      <c r="F181">
        <v>128</v>
      </c>
      <c r="H181">
        <f>F181/E181*100</f>
        <v>94.814814814814824</v>
      </c>
      <c r="I181">
        <f t="shared" si="2"/>
        <v>-94.814814814814824</v>
      </c>
    </row>
    <row r="182" spans="1:17" x14ac:dyDescent="0.35">
      <c r="A182">
        <v>17</v>
      </c>
      <c r="B182" t="s">
        <v>27</v>
      </c>
      <c r="C182" t="s">
        <v>23</v>
      </c>
      <c r="D182" t="s">
        <v>9</v>
      </c>
      <c r="E182">
        <v>82</v>
      </c>
      <c r="F182">
        <v>61</v>
      </c>
      <c r="H182">
        <f>F182/E182*100</f>
        <v>74.390243902439025</v>
      </c>
      <c r="I182">
        <f t="shared" si="2"/>
        <v>-74.390243902439025</v>
      </c>
    </row>
    <row r="183" spans="1:17" x14ac:dyDescent="0.35">
      <c r="A183">
        <v>17</v>
      </c>
      <c r="B183" t="s">
        <v>27</v>
      </c>
      <c r="C183" t="s">
        <v>23</v>
      </c>
      <c r="D183" t="s">
        <v>10</v>
      </c>
      <c r="E183">
        <v>56</v>
      </c>
      <c r="F183">
        <v>35</v>
      </c>
      <c r="H183">
        <f>F183/E183*100</f>
        <v>62.5</v>
      </c>
      <c r="I183">
        <f t="shared" si="2"/>
        <v>-62.5</v>
      </c>
    </row>
    <row r="184" spans="1:17" x14ac:dyDescent="0.35">
      <c r="A184">
        <v>17</v>
      </c>
      <c r="B184" t="s">
        <v>27</v>
      </c>
      <c r="C184" t="s">
        <v>23</v>
      </c>
      <c r="D184" t="s">
        <v>11</v>
      </c>
      <c r="E184">
        <v>94</v>
      </c>
      <c r="F184">
        <v>87</v>
      </c>
      <c r="H184">
        <f>F184/E184*100</f>
        <v>92.553191489361694</v>
      </c>
      <c r="I184">
        <f t="shared" si="2"/>
        <v>-92.553191489361694</v>
      </c>
    </row>
    <row r="185" spans="1:17" x14ac:dyDescent="0.35">
      <c r="A185">
        <v>17</v>
      </c>
      <c r="B185" t="s">
        <v>27</v>
      </c>
      <c r="C185" t="s">
        <v>23</v>
      </c>
      <c r="D185" t="s">
        <v>12</v>
      </c>
      <c r="E185">
        <v>0</v>
      </c>
      <c r="F185" t="s">
        <v>20</v>
      </c>
      <c r="H185" t="e">
        <f>F185/E185*100</f>
        <v>#VALUE!</v>
      </c>
      <c r="I185" t="e">
        <f t="shared" si="2"/>
        <v>#VALUE!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7AE0-7035-44FA-BFC5-11CB035C0D9B}">
  <dimension ref="A1:N13"/>
  <sheetViews>
    <sheetView workbookViewId="0">
      <selection activeCell="C2" sqref="C2:C3"/>
    </sheetView>
  </sheetViews>
  <sheetFormatPr defaultRowHeight="14.5" x14ac:dyDescent="0.35"/>
  <sheetData>
    <row r="1" spans="1:14" x14ac:dyDescent="0.35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J1" s="1" t="s">
        <v>282</v>
      </c>
      <c r="M1" t="s">
        <v>280</v>
      </c>
      <c r="N1" t="s">
        <v>295</v>
      </c>
    </row>
    <row r="2" spans="1:14" x14ac:dyDescent="0.35">
      <c r="A2" t="s">
        <v>296</v>
      </c>
      <c r="B2">
        <v>5</v>
      </c>
      <c r="C2" t="s">
        <v>297</v>
      </c>
      <c r="D2">
        <v>200</v>
      </c>
      <c r="E2">
        <v>104</v>
      </c>
      <c r="F2">
        <v>102</v>
      </c>
      <c r="G2">
        <f>SUM(F2:F3)</f>
        <v>192</v>
      </c>
      <c r="J2" t="s">
        <v>298</v>
      </c>
      <c r="M2">
        <f>(E2+E4)/2</f>
        <v>107</v>
      </c>
      <c r="N2">
        <f>(F2+F4)/2</f>
        <v>105.5</v>
      </c>
    </row>
    <row r="3" spans="1:14" x14ac:dyDescent="0.35">
      <c r="A3" t="s">
        <v>296</v>
      </c>
      <c r="B3">
        <v>5</v>
      </c>
      <c r="C3" t="s">
        <v>299</v>
      </c>
      <c r="D3">
        <v>200</v>
      </c>
      <c r="E3">
        <v>90</v>
      </c>
      <c r="F3">
        <v>90</v>
      </c>
      <c r="J3" t="s">
        <v>300</v>
      </c>
      <c r="M3">
        <f>(E3+E5)/2</f>
        <v>86.5</v>
      </c>
      <c r="N3">
        <f>(F3+F5)/2</f>
        <v>86</v>
      </c>
    </row>
    <row r="4" spans="1:14" x14ac:dyDescent="0.35">
      <c r="A4" t="s">
        <v>296</v>
      </c>
      <c r="B4">
        <v>6</v>
      </c>
      <c r="C4" t="s">
        <v>297</v>
      </c>
      <c r="D4">
        <v>200</v>
      </c>
      <c r="E4">
        <v>110</v>
      </c>
      <c r="F4">
        <v>109</v>
      </c>
      <c r="G4">
        <f>SUM(F4:F5)</f>
        <v>191</v>
      </c>
      <c r="J4" t="s">
        <v>289</v>
      </c>
      <c r="M4">
        <f>(E6+E8)/2</f>
        <v>94.5</v>
      </c>
      <c r="N4">
        <f>(F6+F8)/2</f>
        <v>93.5</v>
      </c>
    </row>
    <row r="5" spans="1:14" x14ac:dyDescent="0.35">
      <c r="A5" t="s">
        <v>296</v>
      </c>
      <c r="B5">
        <v>6</v>
      </c>
      <c r="C5" t="s">
        <v>299</v>
      </c>
      <c r="D5">
        <v>200</v>
      </c>
      <c r="E5">
        <v>83</v>
      </c>
      <c r="F5">
        <v>82</v>
      </c>
      <c r="J5" t="s">
        <v>290</v>
      </c>
      <c r="M5">
        <f>(E7+E9)/2</f>
        <v>100.5</v>
      </c>
      <c r="N5">
        <f>(F7+F9)/2</f>
        <v>100.5</v>
      </c>
    </row>
    <row r="6" spans="1:14" x14ac:dyDescent="0.35">
      <c r="A6" t="s">
        <v>301</v>
      </c>
      <c r="B6">
        <v>1</v>
      </c>
      <c r="C6" t="s">
        <v>297</v>
      </c>
      <c r="D6">
        <v>200</v>
      </c>
      <c r="E6">
        <v>100</v>
      </c>
      <c r="F6">
        <v>100</v>
      </c>
      <c r="G6">
        <f>SUM(F6:F7)</f>
        <v>198</v>
      </c>
      <c r="J6" t="s">
        <v>292</v>
      </c>
      <c r="M6">
        <f>(E10+E12)/2</f>
        <v>39.5</v>
      </c>
      <c r="N6">
        <f>(F10+F12)/2</f>
        <v>27</v>
      </c>
    </row>
    <row r="7" spans="1:14" x14ac:dyDescent="0.35">
      <c r="A7" t="s">
        <v>301</v>
      </c>
      <c r="B7">
        <v>1</v>
      </c>
      <c r="C7" t="s">
        <v>299</v>
      </c>
      <c r="D7">
        <v>200</v>
      </c>
      <c r="E7">
        <v>98</v>
      </c>
      <c r="F7">
        <v>98</v>
      </c>
      <c r="J7" t="s">
        <v>293</v>
      </c>
      <c r="M7">
        <f>(E11+E13)/2</f>
        <v>3</v>
      </c>
      <c r="N7">
        <f>(F11+F13)/2</f>
        <v>1.5</v>
      </c>
    </row>
    <row r="8" spans="1:14" x14ac:dyDescent="0.35">
      <c r="A8" t="s">
        <v>301</v>
      </c>
      <c r="B8">
        <v>2</v>
      </c>
      <c r="C8" t="s">
        <v>297</v>
      </c>
      <c r="D8">
        <v>200</v>
      </c>
      <c r="E8">
        <v>89</v>
      </c>
      <c r="F8">
        <v>87</v>
      </c>
      <c r="G8">
        <f>SUM(F8:F9)</f>
        <v>190</v>
      </c>
    </row>
    <row r="9" spans="1:14" x14ac:dyDescent="0.35">
      <c r="A9" t="s">
        <v>301</v>
      </c>
      <c r="B9">
        <v>2</v>
      </c>
      <c r="C9" t="s">
        <v>299</v>
      </c>
      <c r="D9">
        <v>200</v>
      </c>
      <c r="E9">
        <v>103</v>
      </c>
      <c r="F9">
        <v>103</v>
      </c>
    </row>
    <row r="10" spans="1:14" x14ac:dyDescent="0.35">
      <c r="A10" t="s">
        <v>302</v>
      </c>
      <c r="B10">
        <v>3</v>
      </c>
      <c r="C10" t="s">
        <v>297</v>
      </c>
      <c r="D10">
        <v>200</v>
      </c>
      <c r="E10">
        <v>28</v>
      </c>
      <c r="F10">
        <v>24</v>
      </c>
      <c r="G10">
        <f>SUM(F10:F11)</f>
        <v>25</v>
      </c>
    </row>
    <row r="11" spans="1:14" x14ac:dyDescent="0.35">
      <c r="A11" t="s">
        <v>302</v>
      </c>
      <c r="B11">
        <v>3</v>
      </c>
      <c r="C11" t="s">
        <v>299</v>
      </c>
      <c r="D11">
        <v>200</v>
      </c>
      <c r="E11">
        <v>3</v>
      </c>
      <c r="F11">
        <v>1</v>
      </c>
    </row>
    <row r="12" spans="1:14" x14ac:dyDescent="0.35">
      <c r="A12" t="s">
        <v>302</v>
      </c>
      <c r="B12">
        <v>4</v>
      </c>
      <c r="C12" t="s">
        <v>297</v>
      </c>
      <c r="D12">
        <v>200</v>
      </c>
      <c r="E12">
        <v>51</v>
      </c>
      <c r="F12">
        <v>30</v>
      </c>
      <c r="G12">
        <f>SUM(F12:F13)</f>
        <v>32</v>
      </c>
    </row>
    <row r="13" spans="1:14" x14ac:dyDescent="0.35">
      <c r="A13" t="s">
        <v>302</v>
      </c>
      <c r="B13">
        <v>4</v>
      </c>
      <c r="C13" t="s">
        <v>299</v>
      </c>
      <c r="D13">
        <v>200</v>
      </c>
      <c r="E13">
        <v>3</v>
      </c>
      <c r="F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DF97-6AEF-4609-A120-8435F0E1490A}">
  <dimension ref="A1:F7"/>
  <sheetViews>
    <sheetView workbookViewId="0">
      <selection activeCell="E11" sqref="E11"/>
    </sheetView>
  </sheetViews>
  <sheetFormatPr defaultRowHeight="14.5" x14ac:dyDescent="0.35"/>
  <sheetData>
    <row r="1" spans="1:6" x14ac:dyDescent="0.35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</row>
    <row r="2" spans="1:6" x14ac:dyDescent="0.35">
      <c r="A2" t="s">
        <v>296</v>
      </c>
      <c r="B2">
        <v>1</v>
      </c>
      <c r="C2" t="s">
        <v>297</v>
      </c>
      <c r="D2">
        <v>124</v>
      </c>
      <c r="E2" t="s">
        <v>358</v>
      </c>
      <c r="F2" t="s">
        <v>358</v>
      </c>
    </row>
    <row r="3" spans="1:6" x14ac:dyDescent="0.35">
      <c r="B3">
        <v>1</v>
      </c>
      <c r="C3" t="s">
        <v>299</v>
      </c>
      <c r="D3" t="s">
        <v>358</v>
      </c>
      <c r="E3" t="s">
        <v>358</v>
      </c>
      <c r="F3" t="s">
        <v>358</v>
      </c>
    </row>
    <row r="4" spans="1:6" x14ac:dyDescent="0.35">
      <c r="A4" t="s">
        <v>301</v>
      </c>
      <c r="B4">
        <v>2</v>
      </c>
      <c r="C4" t="s">
        <v>297</v>
      </c>
      <c r="D4">
        <v>179</v>
      </c>
      <c r="E4" t="s">
        <v>358</v>
      </c>
      <c r="F4">
        <v>49</v>
      </c>
    </row>
    <row r="5" spans="1:6" x14ac:dyDescent="0.35">
      <c r="B5">
        <v>2</v>
      </c>
      <c r="C5" t="s">
        <v>299</v>
      </c>
      <c r="D5" t="s">
        <v>358</v>
      </c>
      <c r="E5" t="s">
        <v>358</v>
      </c>
      <c r="F5">
        <v>43</v>
      </c>
    </row>
    <row r="6" spans="1:6" x14ac:dyDescent="0.35">
      <c r="A6" t="s">
        <v>302</v>
      </c>
      <c r="B6">
        <v>3</v>
      </c>
      <c r="C6" t="s">
        <v>297</v>
      </c>
      <c r="D6">
        <v>43</v>
      </c>
      <c r="E6">
        <v>0</v>
      </c>
      <c r="F6">
        <v>0</v>
      </c>
    </row>
    <row r="7" spans="1:6" x14ac:dyDescent="0.35">
      <c r="B7">
        <v>3</v>
      </c>
      <c r="C7" t="s">
        <v>299</v>
      </c>
      <c r="D7" t="s">
        <v>358</v>
      </c>
      <c r="E7" t="s">
        <v>358</v>
      </c>
      <c r="F7" t="s"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487-3249-482A-AFA8-265454508671}">
  <dimension ref="A1:O229"/>
  <sheetViews>
    <sheetView tabSelected="1" workbookViewId="0">
      <selection activeCell="E1" sqref="E1:E1048576"/>
    </sheetView>
  </sheetViews>
  <sheetFormatPr defaultRowHeight="14.5" x14ac:dyDescent="0.35"/>
  <cols>
    <col min="2" max="2" width="9.36328125" bestFit="1" customWidth="1"/>
  </cols>
  <sheetData>
    <row r="1" spans="1:15" x14ac:dyDescent="0.35">
      <c r="A1" t="s">
        <v>4</v>
      </c>
      <c r="B1" t="s">
        <v>0</v>
      </c>
      <c r="C1" t="s">
        <v>32</v>
      </c>
      <c r="D1" t="s">
        <v>2</v>
      </c>
      <c r="E1" t="s">
        <v>3</v>
      </c>
      <c r="G1" t="s">
        <v>33</v>
      </c>
      <c r="I1" t="s">
        <v>34</v>
      </c>
      <c r="L1" t="s">
        <v>31</v>
      </c>
    </row>
    <row r="2" spans="1:15" x14ac:dyDescent="0.35">
      <c r="A2" t="s">
        <v>35</v>
      </c>
      <c r="B2" t="s">
        <v>36</v>
      </c>
      <c r="C2" t="s">
        <v>6</v>
      </c>
      <c r="D2">
        <v>160</v>
      </c>
      <c r="E2">
        <v>132</v>
      </c>
      <c r="G2">
        <v>0</v>
      </c>
      <c r="I2">
        <v>10</v>
      </c>
      <c r="L2">
        <f>E2/D2*100</f>
        <v>82.5</v>
      </c>
      <c r="O2">
        <f>AVERAGE(D2:D42)</f>
        <v>108.90243902439025</v>
      </c>
    </row>
    <row r="3" spans="1:15" x14ac:dyDescent="0.35">
      <c r="A3" t="s">
        <v>37</v>
      </c>
      <c r="B3" t="s">
        <v>36</v>
      </c>
      <c r="C3" t="s">
        <v>6</v>
      </c>
      <c r="D3">
        <v>185</v>
      </c>
      <c r="E3">
        <v>170</v>
      </c>
      <c r="L3">
        <f>E3/D3*100</f>
        <v>91.891891891891902</v>
      </c>
    </row>
    <row r="4" spans="1:15" x14ac:dyDescent="0.35">
      <c r="A4" t="s">
        <v>38</v>
      </c>
      <c r="B4" t="s">
        <v>36</v>
      </c>
      <c r="C4" t="s">
        <v>6</v>
      </c>
      <c r="D4">
        <v>164</v>
      </c>
      <c r="E4">
        <v>103</v>
      </c>
      <c r="L4">
        <f>E4/D4*100</f>
        <v>62.804878048780488</v>
      </c>
    </row>
    <row r="5" spans="1:15" x14ac:dyDescent="0.35">
      <c r="A5" t="s">
        <v>39</v>
      </c>
      <c r="B5" t="s">
        <v>36</v>
      </c>
      <c r="C5" t="s">
        <v>6</v>
      </c>
      <c r="D5">
        <v>128</v>
      </c>
      <c r="E5">
        <v>118</v>
      </c>
      <c r="L5">
        <f>E5/D5*100</f>
        <v>92.1875</v>
      </c>
    </row>
    <row r="6" spans="1:15" x14ac:dyDescent="0.35">
      <c r="A6" t="s">
        <v>40</v>
      </c>
      <c r="B6" t="s">
        <v>36</v>
      </c>
      <c r="C6" t="s">
        <v>6</v>
      </c>
      <c r="D6">
        <v>136</v>
      </c>
      <c r="E6">
        <v>120</v>
      </c>
      <c r="L6">
        <f>E6/D6*100</f>
        <v>88.235294117647058</v>
      </c>
    </row>
    <row r="7" spans="1:15" x14ac:dyDescent="0.35">
      <c r="A7" t="s">
        <v>41</v>
      </c>
      <c r="B7" t="s">
        <v>36</v>
      </c>
      <c r="C7" t="s">
        <v>6</v>
      </c>
      <c r="D7">
        <v>95</v>
      </c>
      <c r="E7">
        <v>70</v>
      </c>
      <c r="L7">
        <f>E7/D7*100</f>
        <v>73.68421052631578</v>
      </c>
    </row>
    <row r="8" spans="1:15" x14ac:dyDescent="0.35">
      <c r="A8" t="s">
        <v>42</v>
      </c>
      <c r="B8" t="s">
        <v>36</v>
      </c>
      <c r="C8" t="s">
        <v>6</v>
      </c>
      <c r="D8">
        <v>108</v>
      </c>
      <c r="E8">
        <v>84</v>
      </c>
      <c r="L8">
        <f>E8/D8*100</f>
        <v>77.777777777777786</v>
      </c>
    </row>
    <row r="9" spans="1:15" x14ac:dyDescent="0.35">
      <c r="A9" t="s">
        <v>43</v>
      </c>
      <c r="B9" t="s">
        <v>36</v>
      </c>
      <c r="C9" t="s">
        <v>6</v>
      </c>
      <c r="D9">
        <v>145</v>
      </c>
      <c r="E9">
        <v>135</v>
      </c>
      <c r="L9">
        <f>E9/D9*100</f>
        <v>93.103448275862064</v>
      </c>
    </row>
    <row r="10" spans="1:15" x14ac:dyDescent="0.35">
      <c r="A10" t="s">
        <v>44</v>
      </c>
      <c r="B10" t="s">
        <v>36</v>
      </c>
      <c r="C10" t="s">
        <v>6</v>
      </c>
      <c r="D10">
        <v>112</v>
      </c>
      <c r="E10">
        <v>100</v>
      </c>
      <c r="L10">
        <f>E10/D10*100</f>
        <v>89.285714285714292</v>
      </c>
    </row>
    <row r="11" spans="1:15" x14ac:dyDescent="0.35">
      <c r="A11" t="s">
        <v>45</v>
      </c>
      <c r="B11" t="s">
        <v>36</v>
      </c>
      <c r="C11" t="s">
        <v>6</v>
      </c>
      <c r="D11">
        <v>109</v>
      </c>
      <c r="E11">
        <v>102</v>
      </c>
      <c r="L11">
        <f>E11/D11*100</f>
        <v>93.577981651376149</v>
      </c>
    </row>
    <row r="12" spans="1:15" x14ac:dyDescent="0.35">
      <c r="A12" t="s">
        <v>46</v>
      </c>
      <c r="B12" t="s">
        <v>36</v>
      </c>
      <c r="C12" t="s">
        <v>7</v>
      </c>
      <c r="D12">
        <v>114</v>
      </c>
      <c r="E12">
        <v>106</v>
      </c>
      <c r="G12">
        <v>0</v>
      </c>
      <c r="I12">
        <v>8</v>
      </c>
      <c r="L12">
        <f>E12/D12*100</f>
        <v>92.982456140350877</v>
      </c>
    </row>
    <row r="13" spans="1:15" x14ac:dyDescent="0.35">
      <c r="A13" t="s">
        <v>47</v>
      </c>
      <c r="B13" t="s">
        <v>36</v>
      </c>
      <c r="C13" t="s">
        <v>7</v>
      </c>
      <c r="D13">
        <v>119</v>
      </c>
      <c r="E13">
        <v>103</v>
      </c>
      <c r="L13">
        <f>E13/D13*100</f>
        <v>86.554621848739501</v>
      </c>
    </row>
    <row r="14" spans="1:15" x14ac:dyDescent="0.35">
      <c r="A14" t="s">
        <v>48</v>
      </c>
      <c r="B14" t="s">
        <v>36</v>
      </c>
      <c r="C14" t="s">
        <v>7</v>
      </c>
      <c r="D14">
        <v>135</v>
      </c>
      <c r="E14">
        <v>130</v>
      </c>
      <c r="L14">
        <f>E14/D14*100</f>
        <v>96.296296296296291</v>
      </c>
    </row>
    <row r="15" spans="1:15" x14ac:dyDescent="0.35">
      <c r="A15" t="s">
        <v>49</v>
      </c>
      <c r="B15" t="s">
        <v>36</v>
      </c>
      <c r="C15" t="s">
        <v>7</v>
      </c>
      <c r="D15">
        <v>127</v>
      </c>
      <c r="E15">
        <v>118</v>
      </c>
      <c r="L15">
        <f>E15/D15*100</f>
        <v>92.913385826771659</v>
      </c>
    </row>
    <row r="16" spans="1:15" x14ac:dyDescent="0.35">
      <c r="A16" t="s">
        <v>50</v>
      </c>
      <c r="B16" t="s">
        <v>36</v>
      </c>
      <c r="C16" t="s">
        <v>7</v>
      </c>
      <c r="D16">
        <v>98</v>
      </c>
      <c r="E16">
        <v>93</v>
      </c>
      <c r="L16">
        <f>E16/D16*100</f>
        <v>94.897959183673478</v>
      </c>
    </row>
    <row r="17" spans="1:12" x14ac:dyDescent="0.35">
      <c r="A17" t="s">
        <v>51</v>
      </c>
      <c r="B17" t="s">
        <v>36</v>
      </c>
      <c r="C17" t="s">
        <v>7</v>
      </c>
      <c r="D17">
        <v>85</v>
      </c>
      <c r="E17">
        <v>81</v>
      </c>
      <c r="L17">
        <f>E17/D17*100</f>
        <v>95.294117647058812</v>
      </c>
    </row>
    <row r="18" spans="1:12" x14ac:dyDescent="0.35">
      <c r="A18" t="s">
        <v>52</v>
      </c>
      <c r="B18" t="s">
        <v>36</v>
      </c>
      <c r="C18" t="s">
        <v>7</v>
      </c>
      <c r="D18">
        <v>82</v>
      </c>
      <c r="E18">
        <v>0</v>
      </c>
      <c r="L18">
        <f>E18/D18*100</f>
        <v>0</v>
      </c>
    </row>
    <row r="19" spans="1:12" x14ac:dyDescent="0.35">
      <c r="A19" t="s">
        <v>53</v>
      </c>
      <c r="B19" t="s">
        <v>36</v>
      </c>
      <c r="C19" t="s">
        <v>7</v>
      </c>
      <c r="D19">
        <v>135</v>
      </c>
      <c r="E19">
        <v>113</v>
      </c>
      <c r="L19">
        <f>E19/D19*100</f>
        <v>83.703703703703695</v>
      </c>
    </row>
    <row r="20" spans="1:12" x14ac:dyDescent="0.35">
      <c r="A20" t="s">
        <v>54</v>
      </c>
      <c r="B20" t="s">
        <v>36</v>
      </c>
      <c r="C20" s="3" t="s">
        <v>21</v>
      </c>
      <c r="D20">
        <v>131</v>
      </c>
      <c r="E20">
        <v>124</v>
      </c>
      <c r="G20">
        <v>1</v>
      </c>
      <c r="I20">
        <v>7</v>
      </c>
      <c r="L20">
        <f>E20/D20*100</f>
        <v>94.656488549618317</v>
      </c>
    </row>
    <row r="21" spans="1:12" x14ac:dyDescent="0.35">
      <c r="A21" t="s">
        <v>55</v>
      </c>
      <c r="B21" t="s">
        <v>36</v>
      </c>
      <c r="C21" s="3" t="s">
        <v>21</v>
      </c>
      <c r="D21">
        <v>137</v>
      </c>
      <c r="E21">
        <v>125</v>
      </c>
      <c r="L21">
        <f>E21/D21*100</f>
        <v>91.240875912408754</v>
      </c>
    </row>
    <row r="22" spans="1:12" x14ac:dyDescent="0.35">
      <c r="A22" t="s">
        <v>56</v>
      </c>
      <c r="B22" t="s">
        <v>36</v>
      </c>
      <c r="C22" s="3" t="s">
        <v>21</v>
      </c>
      <c r="D22">
        <v>119</v>
      </c>
      <c r="E22">
        <v>114</v>
      </c>
      <c r="L22">
        <f>E22/D22*100</f>
        <v>95.798319327731093</v>
      </c>
    </row>
    <row r="23" spans="1:12" x14ac:dyDescent="0.35">
      <c r="A23" t="s">
        <v>57</v>
      </c>
      <c r="B23" t="s">
        <v>36</v>
      </c>
      <c r="C23" s="3" t="s">
        <v>21</v>
      </c>
      <c r="D23">
        <v>109</v>
      </c>
      <c r="E23">
        <v>64</v>
      </c>
      <c r="L23">
        <f>E23/D23*100</f>
        <v>58.715596330275233</v>
      </c>
    </row>
    <row r="24" spans="1:12" x14ac:dyDescent="0.35">
      <c r="A24" t="s">
        <v>58</v>
      </c>
      <c r="B24" t="s">
        <v>36</v>
      </c>
      <c r="C24" s="3" t="s">
        <v>21</v>
      </c>
      <c r="D24">
        <v>167</v>
      </c>
      <c r="E24">
        <v>158</v>
      </c>
      <c r="L24">
        <f>E24/D24*100</f>
        <v>94.610778443113773</v>
      </c>
    </row>
    <row r="25" spans="1:12" x14ac:dyDescent="0.35">
      <c r="A25" t="s">
        <v>59</v>
      </c>
      <c r="B25" t="s">
        <v>36</v>
      </c>
      <c r="C25" s="3" t="s">
        <v>21</v>
      </c>
      <c r="D25">
        <v>0</v>
      </c>
      <c r="E25" t="s">
        <v>60</v>
      </c>
      <c r="L25" t="e">
        <f>E25/D25*100</f>
        <v>#VALUE!</v>
      </c>
    </row>
    <row r="26" spans="1:12" x14ac:dyDescent="0.35">
      <c r="A26" t="s">
        <v>61</v>
      </c>
      <c r="B26" t="s">
        <v>36</v>
      </c>
      <c r="C26" s="2" t="s">
        <v>22</v>
      </c>
      <c r="D26">
        <v>64</v>
      </c>
      <c r="E26">
        <v>55</v>
      </c>
      <c r="G26">
        <v>0</v>
      </c>
      <c r="I26">
        <v>8</v>
      </c>
      <c r="L26">
        <f>E26/D26*100</f>
        <v>85.9375</v>
      </c>
    </row>
    <row r="27" spans="1:12" x14ac:dyDescent="0.35">
      <c r="A27" t="s">
        <v>62</v>
      </c>
      <c r="B27" t="s">
        <v>36</v>
      </c>
      <c r="C27" s="2" t="s">
        <v>22</v>
      </c>
      <c r="D27">
        <v>70</v>
      </c>
      <c r="E27">
        <v>65</v>
      </c>
      <c r="L27">
        <f>E27/D27*100</f>
        <v>92.857142857142861</v>
      </c>
    </row>
    <row r="28" spans="1:12" x14ac:dyDescent="0.35">
      <c r="A28" t="s">
        <v>63</v>
      </c>
      <c r="B28" t="s">
        <v>36</v>
      </c>
      <c r="C28" s="2" t="s">
        <v>22</v>
      </c>
      <c r="D28">
        <v>164</v>
      </c>
      <c r="E28">
        <v>145</v>
      </c>
      <c r="L28">
        <f>E28/D28*100</f>
        <v>88.41463414634147</v>
      </c>
    </row>
    <row r="29" spans="1:12" x14ac:dyDescent="0.35">
      <c r="A29" t="s">
        <v>64</v>
      </c>
      <c r="B29" t="s">
        <v>36</v>
      </c>
      <c r="C29" s="2" t="s">
        <v>22</v>
      </c>
      <c r="D29">
        <v>142</v>
      </c>
      <c r="E29">
        <v>132</v>
      </c>
      <c r="L29">
        <f>E29/D29*100</f>
        <v>92.957746478873233</v>
      </c>
    </row>
    <row r="30" spans="1:12" x14ac:dyDescent="0.35">
      <c r="A30" t="s">
        <v>65</v>
      </c>
      <c r="B30" t="s">
        <v>36</v>
      </c>
      <c r="C30" s="2" t="s">
        <v>22</v>
      </c>
      <c r="D30">
        <v>127</v>
      </c>
      <c r="E30">
        <v>94</v>
      </c>
      <c r="L30">
        <f>E30/D30*100</f>
        <v>74.015748031496059</v>
      </c>
    </row>
    <row r="31" spans="1:12" x14ac:dyDescent="0.35">
      <c r="A31" t="s">
        <v>66</v>
      </c>
      <c r="B31" t="s">
        <v>36</v>
      </c>
      <c r="C31" s="2" t="s">
        <v>22</v>
      </c>
      <c r="D31">
        <v>6</v>
      </c>
      <c r="E31">
        <v>2</v>
      </c>
      <c r="L31">
        <f>E31/D31*100</f>
        <v>33.333333333333329</v>
      </c>
    </row>
    <row r="32" spans="1:12" x14ac:dyDescent="0.35">
      <c r="A32" t="s">
        <v>67</v>
      </c>
      <c r="B32" t="s">
        <v>36</v>
      </c>
      <c r="C32" s="2" t="s">
        <v>22</v>
      </c>
      <c r="D32">
        <v>70</v>
      </c>
      <c r="E32">
        <v>0</v>
      </c>
      <c r="L32">
        <f>E32/D32*100</f>
        <v>0</v>
      </c>
    </row>
    <row r="33" spans="1:15" x14ac:dyDescent="0.35">
      <c r="A33" t="s">
        <v>68</v>
      </c>
      <c r="B33" t="s">
        <v>36</v>
      </c>
      <c r="C33" s="2" t="s">
        <v>22</v>
      </c>
      <c r="D33">
        <v>94</v>
      </c>
      <c r="E33">
        <v>85</v>
      </c>
      <c r="L33">
        <f>E33/D33*100</f>
        <v>90.425531914893625</v>
      </c>
    </row>
    <row r="34" spans="1:15" x14ac:dyDescent="0.35">
      <c r="A34" t="s">
        <v>69</v>
      </c>
      <c r="B34" t="s">
        <v>36</v>
      </c>
      <c r="C34" t="s">
        <v>23</v>
      </c>
      <c r="D34">
        <v>97</v>
      </c>
      <c r="E34">
        <v>78</v>
      </c>
      <c r="G34">
        <v>1</v>
      </c>
      <c r="I34">
        <v>10</v>
      </c>
      <c r="L34">
        <f>E34/D34*100</f>
        <v>80.412371134020617</v>
      </c>
    </row>
    <row r="35" spans="1:15" x14ac:dyDescent="0.35">
      <c r="A35" t="s">
        <v>70</v>
      </c>
      <c r="B35" t="s">
        <v>36</v>
      </c>
      <c r="C35" t="s">
        <v>23</v>
      </c>
      <c r="D35">
        <v>0</v>
      </c>
      <c r="E35" t="s">
        <v>60</v>
      </c>
      <c r="L35" t="e">
        <f>E35/D35*100</f>
        <v>#VALUE!</v>
      </c>
    </row>
    <row r="36" spans="1:15" x14ac:dyDescent="0.35">
      <c r="A36" t="s">
        <v>71</v>
      </c>
      <c r="B36" t="s">
        <v>36</v>
      </c>
      <c r="C36" t="s">
        <v>23</v>
      </c>
      <c r="D36">
        <v>129</v>
      </c>
      <c r="E36">
        <v>96</v>
      </c>
      <c r="L36">
        <f>E36/D36*100</f>
        <v>74.418604651162795</v>
      </c>
    </row>
    <row r="37" spans="1:15" x14ac:dyDescent="0.35">
      <c r="A37" t="s">
        <v>72</v>
      </c>
      <c r="B37" t="s">
        <v>36</v>
      </c>
      <c r="C37" t="s">
        <v>23</v>
      </c>
      <c r="D37">
        <v>130</v>
      </c>
      <c r="E37">
        <v>116</v>
      </c>
      <c r="L37">
        <f>E37/D37*100</f>
        <v>89.230769230769241</v>
      </c>
    </row>
    <row r="38" spans="1:15" x14ac:dyDescent="0.35">
      <c r="A38" t="s">
        <v>73</v>
      </c>
      <c r="B38" t="s">
        <v>36</v>
      </c>
      <c r="C38" t="s">
        <v>23</v>
      </c>
      <c r="D38">
        <v>68</v>
      </c>
      <c r="E38">
        <v>27</v>
      </c>
      <c r="L38">
        <f>E38/D38*100</f>
        <v>39.705882352941174</v>
      </c>
    </row>
    <row r="39" spans="1:15" x14ac:dyDescent="0.35">
      <c r="A39" t="s">
        <v>74</v>
      </c>
      <c r="B39" t="s">
        <v>36</v>
      </c>
      <c r="C39" t="s">
        <v>23</v>
      </c>
      <c r="D39">
        <v>113</v>
      </c>
      <c r="E39">
        <v>98</v>
      </c>
      <c r="L39">
        <f>E39/D39*100</f>
        <v>86.725663716814154</v>
      </c>
    </row>
    <row r="40" spans="1:15" x14ac:dyDescent="0.35">
      <c r="A40" t="s">
        <v>75</v>
      </c>
      <c r="B40" t="s">
        <v>36</v>
      </c>
      <c r="C40" t="s">
        <v>23</v>
      </c>
      <c r="D40">
        <v>120</v>
      </c>
      <c r="E40">
        <v>112</v>
      </c>
      <c r="L40">
        <f>E40/D40*100</f>
        <v>93.333333333333329</v>
      </c>
    </row>
    <row r="41" spans="1:15" x14ac:dyDescent="0.35">
      <c r="A41" t="s">
        <v>76</v>
      </c>
      <c r="B41" t="s">
        <v>36</v>
      </c>
      <c r="C41" t="s">
        <v>23</v>
      </c>
      <c r="D41">
        <v>115</v>
      </c>
      <c r="E41">
        <v>107</v>
      </c>
      <c r="L41">
        <f>E41/D41*100</f>
        <v>93.043478260869563</v>
      </c>
    </row>
    <row r="42" spans="1:15" x14ac:dyDescent="0.35">
      <c r="A42" t="s">
        <v>77</v>
      </c>
      <c r="B42" t="s">
        <v>36</v>
      </c>
      <c r="C42" t="s">
        <v>23</v>
      </c>
      <c r="D42">
        <v>56</v>
      </c>
      <c r="E42">
        <v>45</v>
      </c>
      <c r="L42">
        <f>E42/D42*100</f>
        <v>80.357142857142861</v>
      </c>
    </row>
    <row r="43" spans="1:15" x14ac:dyDescent="0.35">
      <c r="A43" t="s">
        <v>78</v>
      </c>
      <c r="B43" t="s">
        <v>79</v>
      </c>
      <c r="C43" t="s">
        <v>6</v>
      </c>
      <c r="D43">
        <v>171</v>
      </c>
      <c r="E43">
        <v>103</v>
      </c>
      <c r="G43">
        <v>2</v>
      </c>
      <c r="I43">
        <v>9</v>
      </c>
      <c r="L43">
        <f>E43/D43*100</f>
        <v>60.23391812865497</v>
      </c>
      <c r="O43">
        <f>AVERAGE(D43:D76)</f>
        <v>109.67647058823529</v>
      </c>
    </row>
    <row r="44" spans="1:15" x14ac:dyDescent="0.35">
      <c r="A44" t="s">
        <v>80</v>
      </c>
      <c r="B44" t="s">
        <v>79</v>
      </c>
      <c r="C44" t="s">
        <v>6</v>
      </c>
      <c r="D44">
        <v>121</v>
      </c>
      <c r="E44">
        <v>103</v>
      </c>
      <c r="L44">
        <f>E44/D44*100</f>
        <v>85.123966942148769</v>
      </c>
    </row>
    <row r="45" spans="1:15" x14ac:dyDescent="0.35">
      <c r="A45" t="s">
        <v>81</v>
      </c>
      <c r="B45" t="s">
        <v>79</v>
      </c>
      <c r="C45" t="s">
        <v>6</v>
      </c>
      <c r="D45">
        <v>52</v>
      </c>
      <c r="E45">
        <v>28</v>
      </c>
      <c r="L45">
        <f>E45/D45*100</f>
        <v>53.846153846153847</v>
      </c>
    </row>
    <row r="46" spans="1:15" x14ac:dyDescent="0.35">
      <c r="A46" t="s">
        <v>82</v>
      </c>
      <c r="B46" t="s">
        <v>79</v>
      </c>
      <c r="C46" t="s">
        <v>6</v>
      </c>
      <c r="D46">
        <v>106</v>
      </c>
      <c r="E46">
        <v>98</v>
      </c>
      <c r="L46">
        <f>E46/D46*100</f>
        <v>92.452830188679243</v>
      </c>
    </row>
    <row r="47" spans="1:15" x14ac:dyDescent="0.35">
      <c r="A47" t="s">
        <v>83</v>
      </c>
      <c r="B47" t="s">
        <v>79</v>
      </c>
      <c r="C47" t="s">
        <v>6</v>
      </c>
      <c r="D47">
        <v>174</v>
      </c>
      <c r="E47">
        <v>153</v>
      </c>
      <c r="L47">
        <f>E47/D47*100</f>
        <v>87.931034482758619</v>
      </c>
    </row>
    <row r="48" spans="1:15" x14ac:dyDescent="0.35">
      <c r="A48" t="s">
        <v>84</v>
      </c>
      <c r="B48" t="s">
        <v>79</v>
      </c>
      <c r="C48" t="s">
        <v>6</v>
      </c>
      <c r="D48">
        <v>146</v>
      </c>
      <c r="E48">
        <v>132</v>
      </c>
      <c r="L48">
        <f>E48/D48*100</f>
        <v>90.410958904109577</v>
      </c>
    </row>
    <row r="49" spans="1:12" x14ac:dyDescent="0.35">
      <c r="A49" t="s">
        <v>85</v>
      </c>
      <c r="B49" t="s">
        <v>79</v>
      </c>
      <c r="C49" t="s">
        <v>6</v>
      </c>
      <c r="D49">
        <v>163</v>
      </c>
      <c r="E49">
        <v>149</v>
      </c>
      <c r="L49">
        <f>E49/D49*100</f>
        <v>91.411042944785279</v>
      </c>
    </row>
    <row r="50" spans="1:12" x14ac:dyDescent="0.35">
      <c r="A50" t="s">
        <v>86</v>
      </c>
      <c r="B50" t="s">
        <v>79</v>
      </c>
      <c r="C50" t="s">
        <v>7</v>
      </c>
      <c r="D50">
        <v>57</v>
      </c>
      <c r="E50">
        <v>49</v>
      </c>
      <c r="G50">
        <v>0</v>
      </c>
      <c r="I50">
        <v>8</v>
      </c>
      <c r="L50">
        <f>E50/D50*100</f>
        <v>85.964912280701753</v>
      </c>
    </row>
    <row r="51" spans="1:12" x14ac:dyDescent="0.35">
      <c r="A51" t="s">
        <v>87</v>
      </c>
      <c r="B51" t="s">
        <v>79</v>
      </c>
      <c r="C51" t="s">
        <v>7</v>
      </c>
      <c r="D51">
        <v>125</v>
      </c>
      <c r="E51">
        <v>103</v>
      </c>
      <c r="L51">
        <f>E51/D51*100</f>
        <v>82.399999999999991</v>
      </c>
    </row>
    <row r="52" spans="1:12" x14ac:dyDescent="0.35">
      <c r="A52" t="s">
        <v>88</v>
      </c>
      <c r="B52" t="s">
        <v>79</v>
      </c>
      <c r="C52" t="s">
        <v>7</v>
      </c>
      <c r="D52">
        <v>139</v>
      </c>
      <c r="E52">
        <v>132</v>
      </c>
      <c r="L52">
        <f>E52/D52*100</f>
        <v>94.964028776978409</v>
      </c>
    </row>
    <row r="53" spans="1:12" x14ac:dyDescent="0.35">
      <c r="A53" t="s">
        <v>89</v>
      </c>
      <c r="B53" t="s">
        <v>79</v>
      </c>
      <c r="C53" t="s">
        <v>7</v>
      </c>
      <c r="D53">
        <v>61</v>
      </c>
      <c r="E53">
        <v>59</v>
      </c>
      <c r="L53">
        <f>E53/D53*100</f>
        <v>96.721311475409834</v>
      </c>
    </row>
    <row r="54" spans="1:12" x14ac:dyDescent="0.35">
      <c r="A54" t="s">
        <v>90</v>
      </c>
      <c r="B54" t="s">
        <v>79</v>
      </c>
      <c r="C54" t="s">
        <v>7</v>
      </c>
      <c r="D54">
        <v>107</v>
      </c>
      <c r="E54">
        <v>95</v>
      </c>
      <c r="L54">
        <f>E54/D54*100</f>
        <v>88.785046728971963</v>
      </c>
    </row>
    <row r="55" spans="1:12" x14ac:dyDescent="0.35">
      <c r="A55" t="s">
        <v>91</v>
      </c>
      <c r="B55" t="s">
        <v>79</v>
      </c>
      <c r="C55" t="s">
        <v>7</v>
      </c>
      <c r="D55">
        <v>117</v>
      </c>
      <c r="E55">
        <v>84</v>
      </c>
      <c r="L55">
        <f>E55/D55*100</f>
        <v>71.794871794871796</v>
      </c>
    </row>
    <row r="56" spans="1:12" x14ac:dyDescent="0.35">
      <c r="A56" t="s">
        <v>92</v>
      </c>
      <c r="B56" t="s">
        <v>79</v>
      </c>
      <c r="C56" t="s">
        <v>7</v>
      </c>
      <c r="D56">
        <v>151</v>
      </c>
      <c r="E56">
        <v>117</v>
      </c>
      <c r="L56">
        <f>E56/D56*100</f>
        <v>77.483443708609272</v>
      </c>
    </row>
    <row r="57" spans="1:12" x14ac:dyDescent="0.35">
      <c r="A57" t="s">
        <v>93</v>
      </c>
      <c r="B57" t="s">
        <v>79</v>
      </c>
      <c r="C57" t="s">
        <v>7</v>
      </c>
      <c r="D57">
        <v>150</v>
      </c>
      <c r="E57">
        <v>141</v>
      </c>
      <c r="L57">
        <f>E57/D57*100</f>
        <v>94</v>
      </c>
    </row>
    <row r="58" spans="1:12" x14ac:dyDescent="0.35">
      <c r="A58" t="s">
        <v>94</v>
      </c>
      <c r="B58" t="s">
        <v>79</v>
      </c>
      <c r="C58" t="s">
        <v>21</v>
      </c>
      <c r="D58">
        <v>109</v>
      </c>
      <c r="E58">
        <v>94</v>
      </c>
      <c r="G58">
        <v>1</v>
      </c>
      <c r="I58">
        <v>9</v>
      </c>
      <c r="L58">
        <f>E58/D58*100</f>
        <v>86.238532110091754</v>
      </c>
    </row>
    <row r="59" spans="1:12" x14ac:dyDescent="0.35">
      <c r="A59" t="s">
        <v>95</v>
      </c>
      <c r="B59" t="s">
        <v>79</v>
      </c>
      <c r="C59" t="s">
        <v>21</v>
      </c>
      <c r="D59">
        <v>81</v>
      </c>
      <c r="E59">
        <v>73</v>
      </c>
      <c r="L59">
        <f>E59/D59*100</f>
        <v>90.123456790123456</v>
      </c>
    </row>
    <row r="60" spans="1:12" x14ac:dyDescent="0.35">
      <c r="A60" t="s">
        <v>96</v>
      </c>
      <c r="B60" t="s">
        <v>79</v>
      </c>
      <c r="C60" t="s">
        <v>21</v>
      </c>
      <c r="D60">
        <v>105</v>
      </c>
      <c r="E60">
        <v>94</v>
      </c>
      <c r="L60">
        <f>E60/D60*100</f>
        <v>89.523809523809533</v>
      </c>
    </row>
    <row r="61" spans="1:12" x14ac:dyDescent="0.35">
      <c r="A61" t="s">
        <v>97</v>
      </c>
      <c r="B61" t="s">
        <v>79</v>
      </c>
      <c r="C61" t="s">
        <v>21</v>
      </c>
      <c r="D61">
        <v>80</v>
      </c>
      <c r="E61">
        <v>77</v>
      </c>
      <c r="L61">
        <f>E61/D61*100</f>
        <v>96.25</v>
      </c>
    </row>
    <row r="62" spans="1:12" x14ac:dyDescent="0.35">
      <c r="A62" t="s">
        <v>98</v>
      </c>
      <c r="B62" t="s">
        <v>79</v>
      </c>
      <c r="C62" t="s">
        <v>21</v>
      </c>
      <c r="D62">
        <v>113</v>
      </c>
      <c r="E62">
        <v>91</v>
      </c>
      <c r="L62">
        <f>E62/D62*100</f>
        <v>80.530973451327441</v>
      </c>
    </row>
    <row r="63" spans="1:12" x14ac:dyDescent="0.35">
      <c r="A63" t="s">
        <v>99</v>
      </c>
      <c r="B63" t="s">
        <v>79</v>
      </c>
      <c r="C63" t="s">
        <v>21</v>
      </c>
      <c r="D63">
        <v>85</v>
      </c>
      <c r="E63">
        <v>60</v>
      </c>
      <c r="L63">
        <f>E63/D63*100</f>
        <v>70.588235294117652</v>
      </c>
    </row>
    <row r="64" spans="1:12" x14ac:dyDescent="0.35">
      <c r="A64" t="s">
        <v>100</v>
      </c>
      <c r="B64" t="s">
        <v>79</v>
      </c>
      <c r="C64" t="s">
        <v>21</v>
      </c>
      <c r="D64">
        <v>53</v>
      </c>
      <c r="E64">
        <v>27</v>
      </c>
      <c r="L64">
        <f>E64/D64*100</f>
        <v>50.943396226415096</v>
      </c>
    </row>
    <row r="65" spans="1:15" x14ac:dyDescent="0.35">
      <c r="A65" t="s">
        <v>101</v>
      </c>
      <c r="B65" t="s">
        <v>79</v>
      </c>
      <c r="C65" t="s">
        <v>21</v>
      </c>
      <c r="D65">
        <v>90</v>
      </c>
      <c r="E65">
        <v>84</v>
      </c>
      <c r="L65">
        <f>E65/D65*100</f>
        <v>93.333333333333329</v>
      </c>
    </row>
    <row r="66" spans="1:15" x14ac:dyDescent="0.35">
      <c r="A66" t="s">
        <v>102</v>
      </c>
      <c r="B66" t="s">
        <v>79</v>
      </c>
      <c r="C66" t="s">
        <v>22</v>
      </c>
      <c r="D66">
        <v>0</v>
      </c>
      <c r="E66" t="s">
        <v>60</v>
      </c>
      <c r="G66">
        <v>3</v>
      </c>
      <c r="I66">
        <v>9</v>
      </c>
      <c r="L66" t="e">
        <f>E66/D66*100</f>
        <v>#VALUE!</v>
      </c>
    </row>
    <row r="67" spans="1:15" x14ac:dyDescent="0.35">
      <c r="A67" t="s">
        <v>103</v>
      </c>
      <c r="B67" t="s">
        <v>79</v>
      </c>
      <c r="C67" t="s">
        <v>22</v>
      </c>
      <c r="D67">
        <v>79</v>
      </c>
      <c r="E67">
        <v>49</v>
      </c>
      <c r="L67">
        <f>E67/D67*100</f>
        <v>62.025316455696199</v>
      </c>
    </row>
    <row r="68" spans="1:15" x14ac:dyDescent="0.35">
      <c r="A68" t="s">
        <v>104</v>
      </c>
      <c r="B68" t="s">
        <v>79</v>
      </c>
      <c r="C68" t="s">
        <v>22</v>
      </c>
      <c r="D68">
        <v>153</v>
      </c>
      <c r="E68">
        <v>140</v>
      </c>
      <c r="L68">
        <f>E68/D68*100</f>
        <v>91.503267973856211</v>
      </c>
    </row>
    <row r="69" spans="1:15" x14ac:dyDescent="0.35">
      <c r="A69" t="s">
        <v>105</v>
      </c>
      <c r="B69" t="s">
        <v>79</v>
      </c>
      <c r="C69" t="s">
        <v>22</v>
      </c>
      <c r="D69">
        <v>85</v>
      </c>
      <c r="E69">
        <v>78</v>
      </c>
      <c r="L69">
        <f>E69/D69*100</f>
        <v>91.764705882352942</v>
      </c>
    </row>
    <row r="70" spans="1:15" x14ac:dyDescent="0.35">
      <c r="A70" t="s">
        <v>106</v>
      </c>
      <c r="B70" t="s">
        <v>79</v>
      </c>
      <c r="C70" t="s">
        <v>22</v>
      </c>
      <c r="D70">
        <v>153</v>
      </c>
      <c r="E70">
        <v>137</v>
      </c>
      <c r="L70">
        <f>E70/D70*100</f>
        <v>89.542483660130728</v>
      </c>
    </row>
    <row r="71" spans="1:15" x14ac:dyDescent="0.35">
      <c r="A71" t="s">
        <v>107</v>
      </c>
      <c r="B71" t="s">
        <v>79</v>
      </c>
      <c r="C71" t="s">
        <v>22</v>
      </c>
      <c r="D71">
        <v>172</v>
      </c>
      <c r="E71">
        <v>124</v>
      </c>
      <c r="L71">
        <f>E71/D71*100</f>
        <v>72.093023255813947</v>
      </c>
    </row>
    <row r="72" spans="1:15" x14ac:dyDescent="0.35">
      <c r="A72" t="s">
        <v>108</v>
      </c>
      <c r="B72" t="s">
        <v>79</v>
      </c>
      <c r="C72" t="s">
        <v>23</v>
      </c>
      <c r="D72">
        <v>133</v>
      </c>
      <c r="E72">
        <v>6</v>
      </c>
      <c r="G72">
        <v>1</v>
      </c>
      <c r="I72">
        <v>6</v>
      </c>
      <c r="L72">
        <f>E72/D72*100</f>
        <v>4.5112781954887211</v>
      </c>
    </row>
    <row r="73" spans="1:15" x14ac:dyDescent="0.35">
      <c r="A73" t="s">
        <v>109</v>
      </c>
      <c r="B73" t="s">
        <v>79</v>
      </c>
      <c r="C73" t="s">
        <v>23</v>
      </c>
      <c r="D73">
        <v>100</v>
      </c>
      <c r="E73">
        <v>78</v>
      </c>
      <c r="L73">
        <f>E73/D73*100</f>
        <v>78</v>
      </c>
    </row>
    <row r="74" spans="1:15" x14ac:dyDescent="0.35">
      <c r="A74" t="s">
        <v>110</v>
      </c>
      <c r="B74" t="s">
        <v>79</v>
      </c>
      <c r="C74" t="s">
        <v>23</v>
      </c>
      <c r="D74">
        <v>79</v>
      </c>
      <c r="E74">
        <v>70</v>
      </c>
      <c r="L74">
        <f>E74/D74*100</f>
        <v>88.60759493670885</v>
      </c>
    </row>
    <row r="75" spans="1:15" x14ac:dyDescent="0.35">
      <c r="A75" t="s">
        <v>111</v>
      </c>
      <c r="B75" t="s">
        <v>79</v>
      </c>
      <c r="C75" t="s">
        <v>23</v>
      </c>
      <c r="D75">
        <v>104</v>
      </c>
      <c r="E75">
        <v>98</v>
      </c>
      <c r="L75">
        <f>E75/D75*100</f>
        <v>94.230769230769226</v>
      </c>
    </row>
    <row r="76" spans="1:15" x14ac:dyDescent="0.35">
      <c r="A76" t="s">
        <v>112</v>
      </c>
      <c r="B76" t="s">
        <v>79</v>
      </c>
      <c r="C76" t="s">
        <v>23</v>
      </c>
      <c r="D76">
        <v>115</v>
      </c>
      <c r="E76">
        <v>80</v>
      </c>
      <c r="L76">
        <f>E76/D76*100</f>
        <v>69.565217391304344</v>
      </c>
    </row>
    <row r="77" spans="1:15" x14ac:dyDescent="0.35">
      <c r="A77" t="s">
        <v>113</v>
      </c>
      <c r="B77" t="s">
        <v>114</v>
      </c>
      <c r="C77" t="s">
        <v>6</v>
      </c>
      <c r="D77">
        <v>0</v>
      </c>
      <c r="E77" t="s">
        <v>60</v>
      </c>
      <c r="G77">
        <v>0</v>
      </c>
      <c r="I77">
        <v>10</v>
      </c>
      <c r="L77" t="e">
        <f>E77/D77*100</f>
        <v>#VALUE!</v>
      </c>
      <c r="O77">
        <f>AVERAGE(D77:D124)</f>
        <v>89.375</v>
      </c>
    </row>
    <row r="78" spans="1:15" x14ac:dyDescent="0.35">
      <c r="A78" t="s">
        <v>115</v>
      </c>
      <c r="B78" t="s">
        <v>114</v>
      </c>
      <c r="C78" t="s">
        <v>6</v>
      </c>
      <c r="D78">
        <v>62</v>
      </c>
      <c r="E78">
        <v>13</v>
      </c>
      <c r="L78">
        <f>E78/D78*100</f>
        <v>20.967741935483872</v>
      </c>
    </row>
    <row r="79" spans="1:15" x14ac:dyDescent="0.35">
      <c r="A79" t="s">
        <v>116</v>
      </c>
      <c r="B79" t="s">
        <v>114</v>
      </c>
      <c r="C79" t="s">
        <v>6</v>
      </c>
      <c r="D79">
        <v>133</v>
      </c>
      <c r="E79">
        <v>122</v>
      </c>
      <c r="L79">
        <f>E79/D79*100</f>
        <v>91.729323308270665</v>
      </c>
    </row>
    <row r="80" spans="1:15" x14ac:dyDescent="0.35">
      <c r="A80" t="s">
        <v>117</v>
      </c>
      <c r="B80" t="s">
        <v>114</v>
      </c>
      <c r="C80" t="s">
        <v>6</v>
      </c>
      <c r="D80">
        <v>0</v>
      </c>
      <c r="E80" t="s">
        <v>60</v>
      </c>
      <c r="L80" t="e">
        <f>E80/D80*100</f>
        <v>#VALUE!</v>
      </c>
    </row>
    <row r="81" spans="1:12" x14ac:dyDescent="0.35">
      <c r="A81" t="s">
        <v>118</v>
      </c>
      <c r="B81" t="s">
        <v>114</v>
      </c>
      <c r="C81" t="s">
        <v>6</v>
      </c>
      <c r="D81">
        <v>0</v>
      </c>
      <c r="E81" t="s">
        <v>60</v>
      </c>
      <c r="L81" t="e">
        <f>E81/D81*100</f>
        <v>#VALUE!</v>
      </c>
    </row>
    <row r="82" spans="1:12" x14ac:dyDescent="0.35">
      <c r="A82" t="s">
        <v>119</v>
      </c>
      <c r="B82" t="s">
        <v>114</v>
      </c>
      <c r="C82" t="s">
        <v>6</v>
      </c>
      <c r="D82">
        <v>53</v>
      </c>
      <c r="E82">
        <v>48</v>
      </c>
      <c r="L82">
        <f>E82/D82*100</f>
        <v>90.566037735849065</v>
      </c>
    </row>
    <row r="83" spans="1:12" x14ac:dyDescent="0.35">
      <c r="A83" t="s">
        <v>120</v>
      </c>
      <c r="B83" t="s">
        <v>114</v>
      </c>
      <c r="C83" t="s">
        <v>6</v>
      </c>
      <c r="D83">
        <v>72</v>
      </c>
      <c r="E83">
        <v>57</v>
      </c>
      <c r="L83">
        <f>E83/D83*100</f>
        <v>79.166666666666657</v>
      </c>
    </row>
    <row r="84" spans="1:12" x14ac:dyDescent="0.35">
      <c r="A84" t="s">
        <v>121</v>
      </c>
      <c r="B84" t="s">
        <v>114</v>
      </c>
      <c r="C84" t="s">
        <v>6</v>
      </c>
      <c r="D84">
        <v>34</v>
      </c>
      <c r="E84">
        <v>26</v>
      </c>
      <c r="L84">
        <f>E84/D84*100</f>
        <v>76.470588235294116</v>
      </c>
    </row>
    <row r="85" spans="1:12" x14ac:dyDescent="0.35">
      <c r="A85" t="s">
        <v>122</v>
      </c>
      <c r="B85" t="s">
        <v>114</v>
      </c>
      <c r="C85" t="s">
        <v>6</v>
      </c>
      <c r="D85">
        <v>112</v>
      </c>
      <c r="E85">
        <v>103</v>
      </c>
      <c r="L85">
        <f>E85/D85*100</f>
        <v>91.964285714285708</v>
      </c>
    </row>
    <row r="86" spans="1:12" x14ac:dyDescent="0.35">
      <c r="A86" t="s">
        <v>123</v>
      </c>
      <c r="B86" t="s">
        <v>114</v>
      </c>
      <c r="C86" t="s">
        <v>6</v>
      </c>
      <c r="D86">
        <v>138</v>
      </c>
      <c r="E86">
        <v>120</v>
      </c>
      <c r="L86">
        <f>E86/D86*100</f>
        <v>86.956521739130437</v>
      </c>
    </row>
    <row r="87" spans="1:12" x14ac:dyDescent="0.35">
      <c r="A87" t="s">
        <v>124</v>
      </c>
      <c r="B87" t="s">
        <v>114</v>
      </c>
      <c r="C87" t="s">
        <v>7</v>
      </c>
      <c r="D87">
        <v>59</v>
      </c>
      <c r="E87">
        <v>53</v>
      </c>
      <c r="G87">
        <v>0</v>
      </c>
      <c r="I87">
        <v>10</v>
      </c>
      <c r="L87">
        <f>E87/D87*100</f>
        <v>89.830508474576277</v>
      </c>
    </row>
    <row r="88" spans="1:12" x14ac:dyDescent="0.35">
      <c r="A88" t="s">
        <v>125</v>
      </c>
      <c r="B88" t="s">
        <v>114</v>
      </c>
      <c r="C88" t="s">
        <v>7</v>
      </c>
      <c r="D88">
        <v>0</v>
      </c>
      <c r="E88" t="s">
        <v>60</v>
      </c>
      <c r="L88" t="e">
        <f>E88/D88*100</f>
        <v>#VALUE!</v>
      </c>
    </row>
    <row r="89" spans="1:12" x14ac:dyDescent="0.35">
      <c r="A89" t="s">
        <v>126</v>
      </c>
      <c r="B89" t="s">
        <v>114</v>
      </c>
      <c r="C89" t="s">
        <v>7</v>
      </c>
      <c r="D89">
        <v>99</v>
      </c>
      <c r="E89">
        <v>87</v>
      </c>
      <c r="L89">
        <f>E89/D89*100</f>
        <v>87.878787878787875</v>
      </c>
    </row>
    <row r="90" spans="1:12" x14ac:dyDescent="0.35">
      <c r="A90" t="s">
        <v>127</v>
      </c>
      <c r="B90" t="s">
        <v>114</v>
      </c>
      <c r="C90" t="s">
        <v>7</v>
      </c>
      <c r="D90">
        <v>0</v>
      </c>
      <c r="E90" t="s">
        <v>60</v>
      </c>
      <c r="L90" t="e">
        <f>E90/D90*100</f>
        <v>#VALUE!</v>
      </c>
    </row>
    <row r="91" spans="1:12" x14ac:dyDescent="0.35">
      <c r="A91" t="s">
        <v>128</v>
      </c>
      <c r="B91" t="s">
        <v>114</v>
      </c>
      <c r="C91" t="s">
        <v>7</v>
      </c>
      <c r="D91">
        <v>37</v>
      </c>
      <c r="E91">
        <v>31</v>
      </c>
      <c r="L91">
        <f>E91/D91*100</f>
        <v>83.78378378378379</v>
      </c>
    </row>
    <row r="92" spans="1:12" x14ac:dyDescent="0.35">
      <c r="A92" t="s">
        <v>129</v>
      </c>
      <c r="B92" t="s">
        <v>114</v>
      </c>
      <c r="C92" t="s">
        <v>7</v>
      </c>
      <c r="D92">
        <v>78</v>
      </c>
      <c r="E92">
        <v>71</v>
      </c>
      <c r="L92">
        <f>E92/D92*100</f>
        <v>91.025641025641022</v>
      </c>
    </row>
    <row r="93" spans="1:12" x14ac:dyDescent="0.35">
      <c r="A93" t="s">
        <v>130</v>
      </c>
      <c r="B93" t="s">
        <v>114</v>
      </c>
      <c r="C93" t="s">
        <v>7</v>
      </c>
      <c r="D93">
        <v>118</v>
      </c>
      <c r="E93">
        <v>98</v>
      </c>
      <c r="L93">
        <f>E93/D93*100</f>
        <v>83.050847457627114</v>
      </c>
    </row>
    <row r="94" spans="1:12" x14ac:dyDescent="0.35">
      <c r="A94" t="s">
        <v>131</v>
      </c>
      <c r="B94" t="s">
        <v>114</v>
      </c>
      <c r="C94" t="s">
        <v>7</v>
      </c>
      <c r="D94">
        <v>82</v>
      </c>
      <c r="E94">
        <v>36</v>
      </c>
      <c r="L94">
        <f>E94/D94*100</f>
        <v>43.902439024390247</v>
      </c>
    </row>
    <row r="95" spans="1:12" x14ac:dyDescent="0.35">
      <c r="A95" t="s">
        <v>132</v>
      </c>
      <c r="B95" t="s">
        <v>114</v>
      </c>
      <c r="C95" t="s">
        <v>7</v>
      </c>
      <c r="D95">
        <v>25</v>
      </c>
      <c r="E95">
        <v>14</v>
      </c>
      <c r="L95">
        <f>E95/D95*100</f>
        <v>56.000000000000007</v>
      </c>
    </row>
    <row r="96" spans="1:12" x14ac:dyDescent="0.35">
      <c r="A96" t="s">
        <v>133</v>
      </c>
      <c r="B96" t="s">
        <v>114</v>
      </c>
      <c r="C96" t="s">
        <v>7</v>
      </c>
      <c r="D96">
        <v>98</v>
      </c>
      <c r="E96">
        <v>88</v>
      </c>
      <c r="L96">
        <f>E96/D96*100</f>
        <v>89.795918367346943</v>
      </c>
    </row>
    <row r="97" spans="1:12" x14ac:dyDescent="0.35">
      <c r="A97" t="s">
        <v>134</v>
      </c>
      <c r="B97" t="s">
        <v>114</v>
      </c>
      <c r="C97" t="s">
        <v>21</v>
      </c>
      <c r="D97">
        <v>145</v>
      </c>
      <c r="E97">
        <v>138</v>
      </c>
      <c r="G97">
        <v>1</v>
      </c>
      <c r="I97">
        <v>10</v>
      </c>
      <c r="L97">
        <f>E97/D97*100</f>
        <v>95.172413793103445</v>
      </c>
    </row>
    <row r="98" spans="1:12" x14ac:dyDescent="0.35">
      <c r="A98" t="s">
        <v>135</v>
      </c>
      <c r="B98" t="s">
        <v>114</v>
      </c>
      <c r="C98" t="s">
        <v>21</v>
      </c>
      <c r="D98">
        <v>36</v>
      </c>
      <c r="E98">
        <v>13</v>
      </c>
      <c r="L98">
        <f>E98/D98*100</f>
        <v>36.111111111111107</v>
      </c>
    </row>
    <row r="99" spans="1:12" x14ac:dyDescent="0.35">
      <c r="A99" t="s">
        <v>136</v>
      </c>
      <c r="B99" t="s">
        <v>114</v>
      </c>
      <c r="C99" t="s">
        <v>21</v>
      </c>
      <c r="D99">
        <v>157</v>
      </c>
      <c r="E99">
        <v>147</v>
      </c>
      <c r="L99">
        <f>E99/D99*100</f>
        <v>93.630573248407643</v>
      </c>
    </row>
    <row r="100" spans="1:12" x14ac:dyDescent="0.35">
      <c r="A100" t="s">
        <v>137</v>
      </c>
      <c r="B100" t="s">
        <v>114</v>
      </c>
      <c r="C100" t="s">
        <v>21</v>
      </c>
      <c r="D100">
        <v>10</v>
      </c>
      <c r="E100">
        <v>5</v>
      </c>
      <c r="L100">
        <f>E100/D100*100</f>
        <v>50</v>
      </c>
    </row>
    <row r="101" spans="1:12" x14ac:dyDescent="0.35">
      <c r="A101" t="s">
        <v>138</v>
      </c>
      <c r="B101" t="s">
        <v>114</v>
      </c>
      <c r="C101" t="s">
        <v>21</v>
      </c>
      <c r="D101">
        <v>173</v>
      </c>
      <c r="E101">
        <v>134</v>
      </c>
      <c r="L101">
        <f>E101/D101*100</f>
        <v>77.456647398843927</v>
      </c>
    </row>
    <row r="102" spans="1:12" x14ac:dyDescent="0.35">
      <c r="A102" t="s">
        <v>139</v>
      </c>
      <c r="B102" t="s">
        <v>114</v>
      </c>
      <c r="C102" t="s">
        <v>21</v>
      </c>
      <c r="D102">
        <v>185</v>
      </c>
      <c r="E102">
        <v>165</v>
      </c>
      <c r="L102">
        <f>E102/D102*100</f>
        <v>89.189189189189193</v>
      </c>
    </row>
    <row r="103" spans="1:12" x14ac:dyDescent="0.35">
      <c r="A103" t="s">
        <v>140</v>
      </c>
      <c r="B103" t="s">
        <v>114</v>
      </c>
      <c r="C103" t="s">
        <v>21</v>
      </c>
      <c r="D103">
        <v>122</v>
      </c>
      <c r="E103">
        <v>112</v>
      </c>
      <c r="L103">
        <f>E103/D103*100</f>
        <v>91.803278688524586</v>
      </c>
    </row>
    <row r="104" spans="1:12" x14ac:dyDescent="0.35">
      <c r="A104" t="s">
        <v>141</v>
      </c>
      <c r="B104" t="s">
        <v>114</v>
      </c>
      <c r="C104" t="s">
        <v>21</v>
      </c>
      <c r="D104">
        <v>0</v>
      </c>
      <c r="E104" t="s">
        <v>60</v>
      </c>
      <c r="L104" t="e">
        <f>E104/D104*100</f>
        <v>#VALUE!</v>
      </c>
    </row>
    <row r="105" spans="1:12" x14ac:dyDescent="0.35">
      <c r="A105" t="s">
        <v>142</v>
      </c>
      <c r="B105" t="s">
        <v>114</v>
      </c>
      <c r="C105" t="s">
        <v>21</v>
      </c>
      <c r="D105">
        <v>179</v>
      </c>
      <c r="E105">
        <v>149</v>
      </c>
      <c r="L105">
        <f>E105/D105*100</f>
        <v>83.240223463687144</v>
      </c>
    </row>
    <row r="106" spans="1:12" x14ac:dyDescent="0.35">
      <c r="A106" t="s">
        <v>143</v>
      </c>
      <c r="B106" t="s">
        <v>114</v>
      </c>
      <c r="C106" t="s">
        <v>22</v>
      </c>
      <c r="D106">
        <v>116</v>
      </c>
      <c r="E106">
        <v>108</v>
      </c>
      <c r="G106">
        <v>0</v>
      </c>
      <c r="I106">
        <v>10</v>
      </c>
      <c r="L106">
        <f>E106/D106*100</f>
        <v>93.103448275862064</v>
      </c>
    </row>
    <row r="107" spans="1:12" x14ac:dyDescent="0.35">
      <c r="A107" t="s">
        <v>144</v>
      </c>
      <c r="B107" t="s">
        <v>114</v>
      </c>
      <c r="C107" t="s">
        <v>22</v>
      </c>
      <c r="D107">
        <v>94</v>
      </c>
      <c r="E107">
        <v>52</v>
      </c>
      <c r="L107">
        <f>E107/D107*100</f>
        <v>55.319148936170215</v>
      </c>
    </row>
    <row r="108" spans="1:12" x14ac:dyDescent="0.35">
      <c r="A108" t="s">
        <v>145</v>
      </c>
      <c r="B108" t="s">
        <v>114</v>
      </c>
      <c r="C108" t="s">
        <v>22</v>
      </c>
      <c r="D108">
        <v>151</v>
      </c>
      <c r="E108">
        <v>133</v>
      </c>
      <c r="L108">
        <f>E108/D108*100</f>
        <v>88.079470198675494</v>
      </c>
    </row>
    <row r="109" spans="1:12" x14ac:dyDescent="0.35">
      <c r="A109" t="s">
        <v>146</v>
      </c>
      <c r="B109" t="s">
        <v>114</v>
      </c>
      <c r="C109" t="s">
        <v>22</v>
      </c>
      <c r="D109">
        <v>123</v>
      </c>
      <c r="E109">
        <v>63</v>
      </c>
      <c r="L109">
        <f>E109/D109*100</f>
        <v>51.219512195121951</v>
      </c>
    </row>
    <row r="110" spans="1:12" x14ac:dyDescent="0.35">
      <c r="A110" t="s">
        <v>147</v>
      </c>
      <c r="B110" t="s">
        <v>114</v>
      </c>
      <c r="C110" t="s">
        <v>22</v>
      </c>
      <c r="D110">
        <v>101</v>
      </c>
      <c r="E110">
        <v>86</v>
      </c>
      <c r="L110">
        <f>E110/D110*100</f>
        <v>85.148514851485146</v>
      </c>
    </row>
    <row r="111" spans="1:12" x14ac:dyDescent="0.35">
      <c r="A111" t="s">
        <v>148</v>
      </c>
      <c r="B111" t="s">
        <v>114</v>
      </c>
      <c r="C111" t="s">
        <v>22</v>
      </c>
      <c r="D111">
        <v>93</v>
      </c>
      <c r="E111">
        <v>86</v>
      </c>
      <c r="L111">
        <f>E111/D111*100</f>
        <v>92.473118279569889</v>
      </c>
    </row>
    <row r="112" spans="1:12" x14ac:dyDescent="0.35">
      <c r="A112" t="s">
        <v>149</v>
      </c>
      <c r="B112" t="s">
        <v>114</v>
      </c>
      <c r="C112" t="s">
        <v>22</v>
      </c>
      <c r="D112">
        <v>137</v>
      </c>
      <c r="E112">
        <v>38</v>
      </c>
      <c r="L112">
        <f>E112/D112*100</f>
        <v>27.737226277372262</v>
      </c>
    </row>
    <row r="113" spans="1:15" x14ac:dyDescent="0.35">
      <c r="A113" t="s">
        <v>150</v>
      </c>
      <c r="B113" t="s">
        <v>114</v>
      </c>
      <c r="C113" t="s">
        <v>22</v>
      </c>
      <c r="D113">
        <v>157</v>
      </c>
      <c r="E113">
        <v>136</v>
      </c>
      <c r="L113">
        <f>E113/D113*100</f>
        <v>86.624203821656053</v>
      </c>
    </row>
    <row r="114" spans="1:15" x14ac:dyDescent="0.35">
      <c r="A114" t="s">
        <v>151</v>
      </c>
      <c r="B114" t="s">
        <v>114</v>
      </c>
      <c r="C114" t="s">
        <v>22</v>
      </c>
      <c r="D114">
        <v>114</v>
      </c>
      <c r="E114">
        <v>106</v>
      </c>
      <c r="L114">
        <f>E114/D114*100</f>
        <v>92.982456140350877</v>
      </c>
    </row>
    <row r="115" spans="1:15" x14ac:dyDescent="0.35">
      <c r="A115" t="s">
        <v>152</v>
      </c>
      <c r="B115" t="s">
        <v>114</v>
      </c>
      <c r="C115" t="s">
        <v>22</v>
      </c>
      <c r="D115">
        <v>96</v>
      </c>
      <c r="E115">
        <v>43</v>
      </c>
      <c r="L115">
        <f>E115/D115*100</f>
        <v>44.791666666666671</v>
      </c>
    </row>
    <row r="116" spans="1:15" x14ac:dyDescent="0.35">
      <c r="A116" t="s">
        <v>153</v>
      </c>
      <c r="B116" t="s">
        <v>114</v>
      </c>
      <c r="C116" t="s">
        <v>23</v>
      </c>
      <c r="D116">
        <v>139</v>
      </c>
      <c r="E116">
        <v>136</v>
      </c>
      <c r="G116">
        <v>1</v>
      </c>
      <c r="I116">
        <v>10</v>
      </c>
      <c r="L116">
        <f>E116/D116*100</f>
        <v>97.841726618705039</v>
      </c>
    </row>
    <row r="117" spans="1:15" x14ac:dyDescent="0.35">
      <c r="A117" t="s">
        <v>154</v>
      </c>
      <c r="B117" t="s">
        <v>114</v>
      </c>
      <c r="C117" t="s">
        <v>23</v>
      </c>
      <c r="D117">
        <v>139</v>
      </c>
      <c r="E117">
        <v>0</v>
      </c>
      <c r="L117">
        <f>E117/D117*100</f>
        <v>0</v>
      </c>
    </row>
    <row r="118" spans="1:15" x14ac:dyDescent="0.35">
      <c r="A118" t="s">
        <v>155</v>
      </c>
      <c r="B118" t="s">
        <v>114</v>
      </c>
      <c r="C118" t="s">
        <v>23</v>
      </c>
      <c r="D118">
        <v>112</v>
      </c>
      <c r="E118">
        <v>95</v>
      </c>
      <c r="L118">
        <f>E118/D118*100</f>
        <v>84.821428571428569</v>
      </c>
    </row>
    <row r="119" spans="1:15" x14ac:dyDescent="0.35">
      <c r="A119" t="s">
        <v>156</v>
      </c>
      <c r="B119" t="s">
        <v>114</v>
      </c>
      <c r="C119" t="s">
        <v>23</v>
      </c>
      <c r="D119">
        <v>116</v>
      </c>
      <c r="E119">
        <v>0</v>
      </c>
      <c r="L119">
        <f>E119/D119*100</f>
        <v>0</v>
      </c>
    </row>
    <row r="120" spans="1:15" x14ac:dyDescent="0.35">
      <c r="A120" t="s">
        <v>157</v>
      </c>
      <c r="B120" t="s">
        <v>114</v>
      </c>
      <c r="C120" t="s">
        <v>23</v>
      </c>
      <c r="D120">
        <v>107</v>
      </c>
      <c r="E120">
        <v>94</v>
      </c>
      <c r="L120">
        <f>E120/D120*100</f>
        <v>87.850467289719631</v>
      </c>
    </row>
    <row r="121" spans="1:15" x14ac:dyDescent="0.35">
      <c r="A121" t="s">
        <v>158</v>
      </c>
      <c r="B121" t="s">
        <v>114</v>
      </c>
      <c r="C121" t="s">
        <v>23</v>
      </c>
      <c r="D121">
        <v>0</v>
      </c>
      <c r="E121" t="s">
        <v>60</v>
      </c>
      <c r="L121" t="e">
        <f>E121/D121*100</f>
        <v>#VALUE!</v>
      </c>
    </row>
    <row r="122" spans="1:15" x14ac:dyDescent="0.35">
      <c r="A122" t="s">
        <v>159</v>
      </c>
      <c r="B122" t="s">
        <v>114</v>
      </c>
      <c r="C122" t="s">
        <v>23</v>
      </c>
      <c r="D122">
        <v>91</v>
      </c>
      <c r="E122">
        <v>76</v>
      </c>
      <c r="L122">
        <f>E122/D122*100</f>
        <v>83.516483516483518</v>
      </c>
    </row>
    <row r="123" spans="1:15" x14ac:dyDescent="0.35">
      <c r="A123" t="s">
        <v>160</v>
      </c>
      <c r="B123" t="s">
        <v>114</v>
      </c>
      <c r="C123" t="s">
        <v>23</v>
      </c>
      <c r="D123">
        <v>118</v>
      </c>
      <c r="E123">
        <v>93</v>
      </c>
      <c r="L123">
        <f>E123/D123*100</f>
        <v>78.813559322033896</v>
      </c>
    </row>
    <row r="124" spans="1:15" x14ac:dyDescent="0.35">
      <c r="A124" t="s">
        <v>161</v>
      </c>
      <c r="B124" t="s">
        <v>114</v>
      </c>
      <c r="C124" t="s">
        <v>23</v>
      </c>
      <c r="D124">
        <v>79</v>
      </c>
      <c r="E124">
        <v>60</v>
      </c>
      <c r="L124">
        <f>E124/D124*100</f>
        <v>75.949367088607602</v>
      </c>
    </row>
    <row r="125" spans="1:15" x14ac:dyDescent="0.35">
      <c r="A125" t="s">
        <v>162</v>
      </c>
      <c r="B125" t="s">
        <v>163</v>
      </c>
      <c r="C125" t="s">
        <v>6</v>
      </c>
      <c r="D125">
        <v>34</v>
      </c>
      <c r="E125">
        <v>7</v>
      </c>
      <c r="G125" t="s">
        <v>164</v>
      </c>
      <c r="I125">
        <v>10</v>
      </c>
      <c r="L125">
        <f>E125/D125*100</f>
        <v>20.588235294117645</v>
      </c>
      <c r="O125">
        <f>AVERAGE(D125:D163)</f>
        <v>77.051282051282058</v>
      </c>
    </row>
    <row r="126" spans="1:15" x14ac:dyDescent="0.35">
      <c r="A126" t="s">
        <v>165</v>
      </c>
      <c r="B126" t="s">
        <v>163</v>
      </c>
      <c r="C126" t="s">
        <v>6</v>
      </c>
      <c r="D126">
        <v>0</v>
      </c>
      <c r="E126" t="s">
        <v>60</v>
      </c>
      <c r="L126" t="e">
        <f>E126/D126*100</f>
        <v>#VALUE!</v>
      </c>
    </row>
    <row r="127" spans="1:15" x14ac:dyDescent="0.35">
      <c r="A127" t="s">
        <v>166</v>
      </c>
      <c r="B127" t="s">
        <v>163</v>
      </c>
      <c r="C127" t="s">
        <v>6</v>
      </c>
      <c r="D127">
        <v>72</v>
      </c>
      <c r="E127">
        <v>68</v>
      </c>
      <c r="L127">
        <f>E127/D127*100</f>
        <v>94.444444444444443</v>
      </c>
    </row>
    <row r="128" spans="1:15" x14ac:dyDescent="0.35">
      <c r="A128" t="s">
        <v>167</v>
      </c>
      <c r="B128" t="s">
        <v>163</v>
      </c>
      <c r="C128" t="s">
        <v>6</v>
      </c>
      <c r="D128">
        <v>124</v>
      </c>
      <c r="E128">
        <v>96</v>
      </c>
      <c r="L128">
        <f>E128/D128*100</f>
        <v>77.41935483870968</v>
      </c>
    </row>
    <row r="129" spans="1:12" x14ac:dyDescent="0.35">
      <c r="A129" t="s">
        <v>168</v>
      </c>
      <c r="B129" t="s">
        <v>163</v>
      </c>
      <c r="C129" t="s">
        <v>6</v>
      </c>
      <c r="D129">
        <v>77</v>
      </c>
      <c r="E129">
        <v>12</v>
      </c>
      <c r="L129">
        <f>E129/D129*100</f>
        <v>15.584415584415584</v>
      </c>
    </row>
    <row r="130" spans="1:12" x14ac:dyDescent="0.35">
      <c r="A130" t="s">
        <v>169</v>
      </c>
      <c r="B130" t="s">
        <v>163</v>
      </c>
      <c r="C130" t="s">
        <v>6</v>
      </c>
      <c r="D130">
        <v>0</v>
      </c>
      <c r="E130" t="s">
        <v>60</v>
      </c>
      <c r="L130" t="e">
        <f>E130/D130*100</f>
        <v>#VALUE!</v>
      </c>
    </row>
    <row r="131" spans="1:12" x14ac:dyDescent="0.35">
      <c r="A131" t="s">
        <v>170</v>
      </c>
      <c r="B131" t="s">
        <v>163</v>
      </c>
      <c r="C131" t="s">
        <v>6</v>
      </c>
      <c r="D131">
        <v>47</v>
      </c>
      <c r="E131">
        <v>30</v>
      </c>
      <c r="L131">
        <f>E131/D131*100</f>
        <v>63.829787234042556</v>
      </c>
    </row>
    <row r="132" spans="1:12" x14ac:dyDescent="0.35">
      <c r="A132" t="s">
        <v>171</v>
      </c>
      <c r="B132" t="s">
        <v>163</v>
      </c>
      <c r="C132" t="s">
        <v>6</v>
      </c>
      <c r="D132">
        <v>59</v>
      </c>
      <c r="E132">
        <v>51</v>
      </c>
      <c r="L132">
        <f>E132/D132*100</f>
        <v>86.440677966101703</v>
      </c>
    </row>
    <row r="133" spans="1:12" x14ac:dyDescent="0.35">
      <c r="A133" t="s">
        <v>172</v>
      </c>
      <c r="B133" t="s">
        <v>163</v>
      </c>
      <c r="C133" t="s">
        <v>6</v>
      </c>
      <c r="D133">
        <v>73</v>
      </c>
      <c r="E133">
        <v>46</v>
      </c>
      <c r="L133">
        <f>E133/D133*100</f>
        <v>63.013698630136986</v>
      </c>
    </row>
    <row r="134" spans="1:12" x14ac:dyDescent="0.35">
      <c r="A134" t="s">
        <v>173</v>
      </c>
      <c r="B134" t="s">
        <v>163</v>
      </c>
      <c r="C134" t="s">
        <v>6</v>
      </c>
      <c r="D134">
        <v>47</v>
      </c>
      <c r="E134">
        <v>35</v>
      </c>
      <c r="L134">
        <f>E134/D134*100</f>
        <v>74.468085106382972</v>
      </c>
    </row>
    <row r="135" spans="1:12" x14ac:dyDescent="0.35">
      <c r="A135" t="s">
        <v>174</v>
      </c>
      <c r="B135" t="s">
        <v>163</v>
      </c>
      <c r="C135" t="s">
        <v>7</v>
      </c>
      <c r="D135">
        <v>111</v>
      </c>
      <c r="E135">
        <v>14</v>
      </c>
      <c r="G135">
        <v>2</v>
      </c>
      <c r="I135">
        <v>10</v>
      </c>
      <c r="L135">
        <f>E135/D135*100</f>
        <v>12.612612612612612</v>
      </c>
    </row>
    <row r="136" spans="1:12" x14ac:dyDescent="0.35">
      <c r="A136" t="s">
        <v>175</v>
      </c>
      <c r="B136" t="s">
        <v>163</v>
      </c>
      <c r="C136" t="s">
        <v>7</v>
      </c>
      <c r="D136">
        <v>90</v>
      </c>
      <c r="E136">
        <v>66</v>
      </c>
      <c r="L136">
        <f>E136/D136*100</f>
        <v>73.333333333333329</v>
      </c>
    </row>
    <row r="137" spans="1:12" x14ac:dyDescent="0.35">
      <c r="A137" t="s">
        <v>176</v>
      </c>
      <c r="B137" t="s">
        <v>163</v>
      </c>
      <c r="C137" t="s">
        <v>7</v>
      </c>
      <c r="D137">
        <v>106</v>
      </c>
      <c r="E137">
        <v>101</v>
      </c>
      <c r="L137">
        <f>E137/D137*100</f>
        <v>95.283018867924525</v>
      </c>
    </row>
    <row r="138" spans="1:12" x14ac:dyDescent="0.35">
      <c r="A138" t="s">
        <v>177</v>
      </c>
      <c r="B138" t="s">
        <v>163</v>
      </c>
      <c r="C138" t="s">
        <v>7</v>
      </c>
      <c r="D138">
        <v>29</v>
      </c>
      <c r="E138">
        <v>25</v>
      </c>
      <c r="L138">
        <f>E138/D138*100</f>
        <v>86.206896551724128</v>
      </c>
    </row>
    <row r="139" spans="1:12" x14ac:dyDescent="0.35">
      <c r="A139" t="s">
        <v>178</v>
      </c>
      <c r="B139" t="s">
        <v>163</v>
      </c>
      <c r="C139" t="s">
        <v>7</v>
      </c>
      <c r="D139">
        <v>0</v>
      </c>
      <c r="E139" t="s">
        <v>60</v>
      </c>
      <c r="L139" t="e">
        <f>E139/D139*100</f>
        <v>#VALUE!</v>
      </c>
    </row>
    <row r="140" spans="1:12" x14ac:dyDescent="0.35">
      <c r="A140" t="s">
        <v>179</v>
      </c>
      <c r="B140" t="s">
        <v>163</v>
      </c>
      <c r="C140" t="s">
        <v>7</v>
      </c>
      <c r="D140">
        <v>0</v>
      </c>
      <c r="E140" t="s">
        <v>60</v>
      </c>
      <c r="L140" t="e">
        <f>E140/D140*100</f>
        <v>#VALUE!</v>
      </c>
    </row>
    <row r="141" spans="1:12" x14ac:dyDescent="0.35">
      <c r="A141" t="s">
        <v>180</v>
      </c>
      <c r="B141" t="s">
        <v>163</v>
      </c>
      <c r="C141" t="s">
        <v>7</v>
      </c>
      <c r="D141">
        <v>107</v>
      </c>
      <c r="E141">
        <v>99</v>
      </c>
      <c r="L141">
        <f>E141/D141*100</f>
        <v>92.523364485981304</v>
      </c>
    </row>
    <row r="142" spans="1:12" x14ac:dyDescent="0.35">
      <c r="A142" t="s">
        <v>181</v>
      </c>
      <c r="B142" t="s">
        <v>163</v>
      </c>
      <c r="C142" t="s">
        <v>7</v>
      </c>
      <c r="D142">
        <v>103</v>
      </c>
      <c r="E142">
        <v>61</v>
      </c>
      <c r="L142">
        <f>E142/D142*100</f>
        <v>59.22330097087378</v>
      </c>
    </row>
    <row r="143" spans="1:12" x14ac:dyDescent="0.35">
      <c r="A143" t="s">
        <v>182</v>
      </c>
      <c r="B143" t="s">
        <v>163</v>
      </c>
      <c r="C143" t="s">
        <v>21</v>
      </c>
      <c r="D143">
        <v>118</v>
      </c>
      <c r="E143">
        <v>114</v>
      </c>
      <c r="G143">
        <v>1</v>
      </c>
      <c r="I143">
        <v>9</v>
      </c>
      <c r="L143">
        <f>E143/D143*100</f>
        <v>96.610169491525426</v>
      </c>
    </row>
    <row r="144" spans="1:12" x14ac:dyDescent="0.35">
      <c r="A144" t="s">
        <v>183</v>
      </c>
      <c r="B144" t="s">
        <v>163</v>
      </c>
      <c r="C144" t="s">
        <v>21</v>
      </c>
      <c r="D144">
        <v>122</v>
      </c>
      <c r="E144">
        <v>116</v>
      </c>
      <c r="L144">
        <f>E144/D144*100</f>
        <v>95.081967213114751</v>
      </c>
    </row>
    <row r="145" spans="1:12" x14ac:dyDescent="0.35">
      <c r="A145" t="s">
        <v>184</v>
      </c>
      <c r="B145" t="s">
        <v>163</v>
      </c>
      <c r="C145" t="s">
        <v>21</v>
      </c>
      <c r="D145">
        <v>136</v>
      </c>
      <c r="E145">
        <v>133</v>
      </c>
      <c r="L145">
        <f>E145/D145*100</f>
        <v>97.794117647058826</v>
      </c>
    </row>
    <row r="146" spans="1:12" x14ac:dyDescent="0.35">
      <c r="A146" t="s">
        <v>185</v>
      </c>
      <c r="B146" t="s">
        <v>163</v>
      </c>
      <c r="C146" t="s">
        <v>21</v>
      </c>
      <c r="D146">
        <v>132</v>
      </c>
      <c r="E146">
        <v>124</v>
      </c>
      <c r="L146">
        <f>E146/D146*100</f>
        <v>93.939393939393938</v>
      </c>
    </row>
    <row r="147" spans="1:12" x14ac:dyDescent="0.35">
      <c r="A147" t="s">
        <v>186</v>
      </c>
      <c r="B147" t="s">
        <v>163</v>
      </c>
      <c r="C147" t="s">
        <v>21</v>
      </c>
      <c r="D147">
        <v>48</v>
      </c>
      <c r="E147">
        <v>25</v>
      </c>
      <c r="L147">
        <f>E147/D147*100</f>
        <v>52.083333333333336</v>
      </c>
    </row>
    <row r="148" spans="1:12" x14ac:dyDescent="0.35">
      <c r="A148" t="s">
        <v>187</v>
      </c>
      <c r="B148" t="s">
        <v>163</v>
      </c>
      <c r="C148" t="s">
        <v>21</v>
      </c>
      <c r="D148">
        <v>107</v>
      </c>
      <c r="E148">
        <v>71</v>
      </c>
      <c r="L148">
        <f>E148/D148*100</f>
        <v>66.355140186915889</v>
      </c>
    </row>
    <row r="149" spans="1:12" x14ac:dyDescent="0.35">
      <c r="A149" t="s">
        <v>188</v>
      </c>
      <c r="B149" t="s">
        <v>163</v>
      </c>
      <c r="C149" t="s">
        <v>21</v>
      </c>
      <c r="D149">
        <v>154</v>
      </c>
      <c r="E149">
        <v>132</v>
      </c>
      <c r="L149">
        <f>E149/D149*100</f>
        <v>85.714285714285708</v>
      </c>
    </row>
    <row r="150" spans="1:12" x14ac:dyDescent="0.35">
      <c r="A150" t="s">
        <v>189</v>
      </c>
      <c r="B150" t="s">
        <v>163</v>
      </c>
      <c r="C150" t="s">
        <v>21</v>
      </c>
      <c r="D150">
        <v>106</v>
      </c>
      <c r="E150">
        <v>72</v>
      </c>
      <c r="L150">
        <f>E150/D150*100</f>
        <v>67.924528301886795</v>
      </c>
    </row>
    <row r="151" spans="1:12" x14ac:dyDescent="0.35">
      <c r="A151" t="s">
        <v>190</v>
      </c>
      <c r="B151" t="s">
        <v>163</v>
      </c>
      <c r="C151" t="s">
        <v>22</v>
      </c>
      <c r="D151">
        <v>96</v>
      </c>
      <c r="E151">
        <v>5</v>
      </c>
      <c r="F151" t="s">
        <v>191</v>
      </c>
      <c r="G151" t="s">
        <v>192</v>
      </c>
      <c r="I151">
        <v>9</v>
      </c>
      <c r="L151">
        <f>E151/D151*100</f>
        <v>5.2083333333333339</v>
      </c>
    </row>
    <row r="152" spans="1:12" x14ac:dyDescent="0.35">
      <c r="A152" t="s">
        <v>193</v>
      </c>
      <c r="B152" t="s">
        <v>163</v>
      </c>
      <c r="C152" t="s">
        <v>22</v>
      </c>
      <c r="D152">
        <v>0</v>
      </c>
      <c r="E152" t="s">
        <v>60</v>
      </c>
      <c r="L152" t="e">
        <f>E152/D152*100</f>
        <v>#VALUE!</v>
      </c>
    </row>
    <row r="153" spans="1:12" x14ac:dyDescent="0.35">
      <c r="A153" t="s">
        <v>194</v>
      </c>
      <c r="B153" t="s">
        <v>163</v>
      </c>
      <c r="C153" t="s">
        <v>22</v>
      </c>
      <c r="D153">
        <v>80</v>
      </c>
      <c r="E153">
        <v>53</v>
      </c>
      <c r="L153">
        <f>E153/D153*100</f>
        <v>66.25</v>
      </c>
    </row>
    <row r="154" spans="1:12" x14ac:dyDescent="0.35">
      <c r="A154" t="s">
        <v>195</v>
      </c>
      <c r="B154" t="s">
        <v>163</v>
      </c>
      <c r="C154" t="s">
        <v>22</v>
      </c>
      <c r="D154">
        <v>0</v>
      </c>
      <c r="E154" t="s">
        <v>60</v>
      </c>
      <c r="L154" t="e">
        <f>E154/D154*100</f>
        <v>#VALUE!</v>
      </c>
    </row>
    <row r="155" spans="1:12" x14ac:dyDescent="0.35">
      <c r="A155" t="s">
        <v>196</v>
      </c>
      <c r="B155" t="s">
        <v>163</v>
      </c>
      <c r="C155" t="s">
        <v>22</v>
      </c>
      <c r="D155">
        <v>76</v>
      </c>
      <c r="E155">
        <v>73</v>
      </c>
      <c r="L155">
        <f>E155/D155*100</f>
        <v>96.05263157894737</v>
      </c>
    </row>
    <row r="156" spans="1:12" x14ac:dyDescent="0.35">
      <c r="A156" t="s">
        <v>197</v>
      </c>
      <c r="B156" t="s">
        <v>163</v>
      </c>
      <c r="C156" t="s">
        <v>23</v>
      </c>
      <c r="D156">
        <v>96</v>
      </c>
      <c r="E156">
        <v>73</v>
      </c>
      <c r="F156" t="s">
        <v>198</v>
      </c>
      <c r="G156" s="2">
        <v>2</v>
      </c>
      <c r="I156">
        <v>10</v>
      </c>
      <c r="L156">
        <f>E156/D156*100</f>
        <v>76.041666666666657</v>
      </c>
    </row>
    <row r="157" spans="1:12" x14ac:dyDescent="0.35">
      <c r="A157" t="s">
        <v>199</v>
      </c>
      <c r="B157" t="s">
        <v>163</v>
      </c>
      <c r="C157" t="s">
        <v>23</v>
      </c>
      <c r="D157">
        <v>74</v>
      </c>
      <c r="E157">
        <v>60</v>
      </c>
      <c r="L157">
        <f>E157/D157*100</f>
        <v>81.081081081081081</v>
      </c>
    </row>
    <row r="158" spans="1:12" x14ac:dyDescent="0.35">
      <c r="A158" t="s">
        <v>200</v>
      </c>
      <c r="B158" t="s">
        <v>163</v>
      </c>
      <c r="C158" t="s">
        <v>23</v>
      </c>
      <c r="D158">
        <v>114</v>
      </c>
      <c r="E158">
        <v>68</v>
      </c>
      <c r="L158">
        <f>E158/D158*100</f>
        <v>59.649122807017541</v>
      </c>
    </row>
    <row r="159" spans="1:12" x14ac:dyDescent="0.35">
      <c r="A159" t="s">
        <v>201</v>
      </c>
      <c r="B159" t="s">
        <v>163</v>
      </c>
      <c r="C159" t="s">
        <v>23</v>
      </c>
      <c r="D159">
        <v>0</v>
      </c>
      <c r="E159" t="s">
        <v>60</v>
      </c>
      <c r="L159" t="e">
        <f>E159/D159*100</f>
        <v>#VALUE!</v>
      </c>
    </row>
    <row r="160" spans="1:12" x14ac:dyDescent="0.35">
      <c r="A160" t="s">
        <v>202</v>
      </c>
      <c r="B160" t="s">
        <v>163</v>
      </c>
      <c r="C160" t="s">
        <v>23</v>
      </c>
      <c r="D160">
        <v>104</v>
      </c>
      <c r="E160">
        <v>100</v>
      </c>
      <c r="L160">
        <f>E160/D160*100</f>
        <v>96.15384615384616</v>
      </c>
    </row>
    <row r="161" spans="1:15" x14ac:dyDescent="0.35">
      <c r="A161" t="s">
        <v>203</v>
      </c>
      <c r="B161" t="s">
        <v>163</v>
      </c>
      <c r="C161" t="s">
        <v>23</v>
      </c>
      <c r="D161">
        <v>99</v>
      </c>
      <c r="E161">
        <v>91</v>
      </c>
      <c r="L161">
        <f>E161/D161*100</f>
        <v>91.919191919191917</v>
      </c>
    </row>
    <row r="162" spans="1:15" x14ac:dyDescent="0.35">
      <c r="A162" t="s">
        <v>204</v>
      </c>
      <c r="B162" t="s">
        <v>163</v>
      </c>
      <c r="C162" t="s">
        <v>23</v>
      </c>
      <c r="D162">
        <v>148</v>
      </c>
      <c r="E162">
        <v>133</v>
      </c>
      <c r="L162">
        <f>E162/D162*100</f>
        <v>89.86486486486487</v>
      </c>
    </row>
    <row r="163" spans="1:15" x14ac:dyDescent="0.35">
      <c r="A163" t="s">
        <v>205</v>
      </c>
      <c r="B163" t="s">
        <v>163</v>
      </c>
      <c r="C163" t="s">
        <v>23</v>
      </c>
      <c r="D163">
        <v>116</v>
      </c>
      <c r="E163">
        <v>74</v>
      </c>
      <c r="L163">
        <f>E163/D163*100</f>
        <v>63.793103448275865</v>
      </c>
    </row>
    <row r="164" spans="1:15" x14ac:dyDescent="0.35">
      <c r="A164" t="s">
        <v>206</v>
      </c>
      <c r="B164" t="s">
        <v>207</v>
      </c>
      <c r="C164" t="s">
        <v>6</v>
      </c>
      <c r="D164">
        <v>0</v>
      </c>
      <c r="E164" t="s">
        <v>60</v>
      </c>
      <c r="G164">
        <v>0</v>
      </c>
      <c r="I164">
        <v>8</v>
      </c>
      <c r="L164" t="e">
        <f>E164/D164*100</f>
        <v>#VALUE!</v>
      </c>
      <c r="O164">
        <f>AVERAGE(D164:D201)</f>
        <v>25.45945945945946</v>
      </c>
    </row>
    <row r="165" spans="1:15" x14ac:dyDescent="0.35">
      <c r="A165" t="s">
        <v>208</v>
      </c>
      <c r="B165" t="s">
        <v>207</v>
      </c>
      <c r="C165" t="s">
        <v>6</v>
      </c>
      <c r="D165">
        <v>0</v>
      </c>
      <c r="E165" t="s">
        <v>60</v>
      </c>
      <c r="L165" t="e">
        <f>E165/D165*100</f>
        <v>#VALUE!</v>
      </c>
    </row>
    <row r="166" spans="1:15" x14ac:dyDescent="0.35">
      <c r="A166" t="s">
        <v>209</v>
      </c>
      <c r="B166" t="s">
        <v>207</v>
      </c>
      <c r="C166" t="s">
        <v>6</v>
      </c>
      <c r="D166">
        <v>0</v>
      </c>
      <c r="E166" t="s">
        <v>60</v>
      </c>
      <c r="L166" t="e">
        <f>E166/D166*100</f>
        <v>#VALUE!</v>
      </c>
    </row>
    <row r="167" spans="1:15" x14ac:dyDescent="0.35">
      <c r="A167" t="s">
        <v>210</v>
      </c>
      <c r="B167" t="s">
        <v>207</v>
      </c>
      <c r="C167" t="s">
        <v>6</v>
      </c>
      <c r="D167">
        <v>0</v>
      </c>
      <c r="E167" t="s">
        <v>60</v>
      </c>
      <c r="L167" t="e">
        <f>E167/D167*100</f>
        <v>#VALUE!</v>
      </c>
    </row>
    <row r="168" spans="1:15" x14ac:dyDescent="0.35">
      <c r="A168" t="s">
        <v>211</v>
      </c>
      <c r="B168" t="s">
        <v>207</v>
      </c>
      <c r="C168" t="s">
        <v>6</v>
      </c>
      <c r="D168">
        <v>0</v>
      </c>
      <c r="E168" t="s">
        <v>60</v>
      </c>
      <c r="L168" t="e">
        <f>E168/D168*100</f>
        <v>#VALUE!</v>
      </c>
    </row>
    <row r="169" spans="1:15" x14ac:dyDescent="0.35">
      <c r="A169" t="s">
        <v>212</v>
      </c>
      <c r="B169" t="s">
        <v>207</v>
      </c>
      <c r="C169" t="s">
        <v>6</v>
      </c>
      <c r="D169">
        <v>0</v>
      </c>
      <c r="E169" t="s">
        <v>60</v>
      </c>
      <c r="L169" t="e">
        <f>E169/D169*100</f>
        <v>#VALUE!</v>
      </c>
    </row>
    <row r="170" spans="1:15" x14ac:dyDescent="0.35">
      <c r="A170" t="s">
        <v>213</v>
      </c>
      <c r="B170" t="s">
        <v>207</v>
      </c>
      <c r="C170" t="s">
        <v>6</v>
      </c>
      <c r="D170">
        <v>0</v>
      </c>
      <c r="E170" t="s">
        <v>60</v>
      </c>
      <c r="L170" t="e">
        <f>E170/D170*100</f>
        <v>#VALUE!</v>
      </c>
    </row>
    <row r="171" spans="1:15" x14ac:dyDescent="0.35">
      <c r="A171" t="s">
        <v>214</v>
      </c>
      <c r="B171" t="s">
        <v>207</v>
      </c>
      <c r="C171" t="s">
        <v>6</v>
      </c>
      <c r="D171">
        <v>96</v>
      </c>
      <c r="E171">
        <v>61</v>
      </c>
      <c r="L171">
        <f>E171/D171*100</f>
        <v>63.541666666666664</v>
      </c>
    </row>
    <row r="172" spans="1:15" x14ac:dyDescent="0.35">
      <c r="L172" t="e">
        <f>E172/D172*100</f>
        <v>#DIV/0!</v>
      </c>
    </row>
    <row r="173" spans="1:15" x14ac:dyDescent="0.35">
      <c r="A173" t="s">
        <v>215</v>
      </c>
      <c r="B173" t="s">
        <v>207</v>
      </c>
      <c r="C173" t="s">
        <v>7</v>
      </c>
      <c r="D173">
        <v>0</v>
      </c>
      <c r="E173" t="s">
        <v>60</v>
      </c>
      <c r="G173">
        <v>0</v>
      </c>
      <c r="I173">
        <v>9</v>
      </c>
      <c r="L173" t="e">
        <f>E173/D173*100</f>
        <v>#VALUE!</v>
      </c>
    </row>
    <row r="174" spans="1:15" x14ac:dyDescent="0.35">
      <c r="A174" t="s">
        <v>216</v>
      </c>
      <c r="B174" t="s">
        <v>207</v>
      </c>
      <c r="C174" t="s">
        <v>7</v>
      </c>
      <c r="D174">
        <v>0</v>
      </c>
      <c r="E174" t="s">
        <v>60</v>
      </c>
      <c r="L174" t="e">
        <f>E174/D174*100</f>
        <v>#VALUE!</v>
      </c>
    </row>
    <row r="175" spans="1:15" x14ac:dyDescent="0.35">
      <c r="A175" t="s">
        <v>217</v>
      </c>
      <c r="B175" t="s">
        <v>207</v>
      </c>
      <c r="C175" t="s">
        <v>7</v>
      </c>
      <c r="D175">
        <v>157</v>
      </c>
      <c r="E175">
        <v>151</v>
      </c>
      <c r="L175">
        <f>E175/D175*100</f>
        <v>96.178343949044589</v>
      </c>
    </row>
    <row r="176" spans="1:15" x14ac:dyDescent="0.35">
      <c r="A176" t="s">
        <v>218</v>
      </c>
      <c r="B176" t="s">
        <v>207</v>
      </c>
      <c r="C176" t="s">
        <v>7</v>
      </c>
      <c r="D176">
        <v>0</v>
      </c>
      <c r="E176" t="s">
        <v>60</v>
      </c>
      <c r="L176" t="e">
        <f>E176/D176*100</f>
        <v>#VALUE!</v>
      </c>
    </row>
    <row r="177" spans="1:12" x14ac:dyDescent="0.35">
      <c r="A177" t="s">
        <v>219</v>
      </c>
      <c r="B177" t="s">
        <v>207</v>
      </c>
      <c r="C177" t="s">
        <v>7</v>
      </c>
      <c r="D177">
        <v>0</v>
      </c>
      <c r="E177" t="s">
        <v>60</v>
      </c>
      <c r="L177" t="e">
        <f>E177/D177*100</f>
        <v>#VALUE!</v>
      </c>
    </row>
    <row r="178" spans="1:12" x14ac:dyDescent="0.35">
      <c r="A178" t="s">
        <v>220</v>
      </c>
      <c r="B178" t="s">
        <v>207</v>
      </c>
      <c r="C178" t="s">
        <v>7</v>
      </c>
      <c r="D178">
        <v>0</v>
      </c>
      <c r="E178" t="s">
        <v>60</v>
      </c>
      <c r="L178" t="e">
        <f>E178/D178*100</f>
        <v>#VALUE!</v>
      </c>
    </row>
    <row r="179" spans="1:12" x14ac:dyDescent="0.35">
      <c r="A179" t="s">
        <v>221</v>
      </c>
      <c r="B179" t="s">
        <v>207</v>
      </c>
      <c r="C179" t="s">
        <v>7</v>
      </c>
      <c r="D179">
        <v>88</v>
      </c>
      <c r="E179">
        <v>85</v>
      </c>
      <c r="L179">
        <f>E179/D179*100</f>
        <v>96.590909090909093</v>
      </c>
    </row>
    <row r="180" spans="1:12" x14ac:dyDescent="0.35">
      <c r="A180" t="s">
        <v>222</v>
      </c>
      <c r="B180" t="s">
        <v>207</v>
      </c>
      <c r="C180" t="s">
        <v>7</v>
      </c>
      <c r="D180">
        <v>0</v>
      </c>
      <c r="E180" t="s">
        <v>60</v>
      </c>
      <c r="L180" t="e">
        <f>E180/D180*100</f>
        <v>#VALUE!</v>
      </c>
    </row>
    <row r="181" spans="1:12" x14ac:dyDescent="0.35">
      <c r="A181" t="s">
        <v>223</v>
      </c>
      <c r="B181" t="s">
        <v>207</v>
      </c>
      <c r="C181" t="s">
        <v>7</v>
      </c>
      <c r="D181">
        <v>0</v>
      </c>
      <c r="E181" t="s">
        <v>60</v>
      </c>
      <c r="L181" t="e">
        <f>E181/D181*100</f>
        <v>#VALUE!</v>
      </c>
    </row>
    <row r="182" spans="1:12" x14ac:dyDescent="0.35">
      <c r="A182" t="s">
        <v>224</v>
      </c>
      <c r="B182" t="s">
        <v>207</v>
      </c>
      <c r="C182" t="s">
        <v>21</v>
      </c>
      <c r="D182">
        <v>0</v>
      </c>
      <c r="E182" t="s">
        <v>60</v>
      </c>
      <c r="G182">
        <v>0</v>
      </c>
      <c r="I182">
        <v>9</v>
      </c>
      <c r="L182" t="e">
        <f>E182/D182*100</f>
        <v>#VALUE!</v>
      </c>
    </row>
    <row r="183" spans="1:12" x14ac:dyDescent="0.35">
      <c r="A183" t="s">
        <v>225</v>
      </c>
      <c r="B183" t="s">
        <v>207</v>
      </c>
      <c r="C183" t="s">
        <v>21</v>
      </c>
      <c r="D183">
        <v>0</v>
      </c>
      <c r="E183" t="s">
        <v>60</v>
      </c>
      <c r="L183" t="e">
        <f>E183/D183*100</f>
        <v>#VALUE!</v>
      </c>
    </row>
    <row r="184" spans="1:12" x14ac:dyDescent="0.35">
      <c r="A184" t="s">
        <v>226</v>
      </c>
      <c r="B184" t="s">
        <v>207</v>
      </c>
      <c r="C184" t="s">
        <v>21</v>
      </c>
      <c r="D184">
        <v>52</v>
      </c>
      <c r="E184">
        <v>43</v>
      </c>
      <c r="L184">
        <f>E184/D184*100</f>
        <v>82.692307692307693</v>
      </c>
    </row>
    <row r="185" spans="1:12" x14ac:dyDescent="0.35">
      <c r="A185" t="s">
        <v>227</v>
      </c>
      <c r="B185" t="s">
        <v>207</v>
      </c>
      <c r="C185" t="s">
        <v>21</v>
      </c>
      <c r="D185">
        <v>136</v>
      </c>
      <c r="E185">
        <v>127</v>
      </c>
      <c r="L185">
        <f>E185/D185*100</f>
        <v>93.382352941176478</v>
      </c>
    </row>
    <row r="186" spans="1:12" x14ac:dyDescent="0.35">
      <c r="A186" t="s">
        <v>228</v>
      </c>
      <c r="B186" t="s">
        <v>207</v>
      </c>
      <c r="C186" t="s">
        <v>21</v>
      </c>
      <c r="D186">
        <v>0</v>
      </c>
      <c r="E186" t="s">
        <v>60</v>
      </c>
      <c r="L186" t="e">
        <f>E186/D186*100</f>
        <v>#VALUE!</v>
      </c>
    </row>
    <row r="187" spans="1:12" x14ac:dyDescent="0.35">
      <c r="A187" t="s">
        <v>229</v>
      </c>
      <c r="B187" t="s">
        <v>207</v>
      </c>
      <c r="C187" t="s">
        <v>21</v>
      </c>
      <c r="D187">
        <v>108</v>
      </c>
      <c r="E187">
        <v>98</v>
      </c>
      <c r="L187">
        <f>E187/D187*100</f>
        <v>90.740740740740748</v>
      </c>
    </row>
    <row r="188" spans="1:12" x14ac:dyDescent="0.35">
      <c r="A188" t="s">
        <v>230</v>
      </c>
      <c r="B188" t="s">
        <v>207</v>
      </c>
      <c r="C188" t="s">
        <v>21</v>
      </c>
      <c r="D188">
        <v>20</v>
      </c>
      <c r="E188">
        <v>0</v>
      </c>
      <c r="L188">
        <f>E188/D188*100</f>
        <v>0</v>
      </c>
    </row>
    <row r="189" spans="1:12" x14ac:dyDescent="0.35">
      <c r="A189" t="s">
        <v>231</v>
      </c>
      <c r="B189" t="s">
        <v>207</v>
      </c>
      <c r="C189" t="s">
        <v>21</v>
      </c>
      <c r="D189">
        <v>0</v>
      </c>
      <c r="E189" t="s">
        <v>60</v>
      </c>
      <c r="L189" t="e">
        <f>E189/D189*100</f>
        <v>#VALUE!</v>
      </c>
    </row>
    <row r="190" spans="1:12" x14ac:dyDescent="0.35">
      <c r="A190" t="s">
        <v>232</v>
      </c>
      <c r="B190" t="s">
        <v>207</v>
      </c>
      <c r="C190" t="s">
        <v>21</v>
      </c>
      <c r="D190">
        <v>39</v>
      </c>
      <c r="E190">
        <v>36</v>
      </c>
      <c r="L190">
        <f>E190/D190*100</f>
        <v>92.307692307692307</v>
      </c>
    </row>
    <row r="191" spans="1:12" x14ac:dyDescent="0.35">
      <c r="A191" t="s">
        <v>233</v>
      </c>
      <c r="B191" t="s">
        <v>207</v>
      </c>
      <c r="C191" t="s">
        <v>22</v>
      </c>
      <c r="D191">
        <v>0</v>
      </c>
      <c r="E191" t="s">
        <v>60</v>
      </c>
      <c r="G191">
        <v>3</v>
      </c>
      <c r="I191">
        <v>6</v>
      </c>
      <c r="L191" t="e">
        <f>E191/D191*100</f>
        <v>#VALUE!</v>
      </c>
    </row>
    <row r="192" spans="1:12" x14ac:dyDescent="0.35">
      <c r="A192" t="s">
        <v>234</v>
      </c>
      <c r="B192" t="s">
        <v>207</v>
      </c>
      <c r="C192" t="s">
        <v>22</v>
      </c>
      <c r="D192">
        <v>66</v>
      </c>
      <c r="E192">
        <v>34</v>
      </c>
      <c r="L192">
        <f>E192/D192*100</f>
        <v>51.515151515151516</v>
      </c>
    </row>
    <row r="193" spans="1:12" x14ac:dyDescent="0.35">
      <c r="A193" t="s">
        <v>235</v>
      </c>
      <c r="B193" t="s">
        <v>207</v>
      </c>
      <c r="C193" t="s">
        <v>22</v>
      </c>
      <c r="D193">
        <v>4</v>
      </c>
      <c r="E193">
        <v>4</v>
      </c>
      <c r="L193">
        <f>E193/D193*100</f>
        <v>100</v>
      </c>
    </row>
    <row r="194" spans="1:12" x14ac:dyDescent="0.35">
      <c r="A194" t="s">
        <v>236</v>
      </c>
      <c r="B194" t="s">
        <v>207</v>
      </c>
      <c r="C194" t="s">
        <v>23</v>
      </c>
      <c r="D194">
        <v>0</v>
      </c>
      <c r="E194" t="s">
        <v>60</v>
      </c>
      <c r="G194">
        <v>1</v>
      </c>
      <c r="I194">
        <v>9</v>
      </c>
      <c r="L194" t="e">
        <f>E194/D194*100</f>
        <v>#VALUE!</v>
      </c>
    </row>
    <row r="195" spans="1:12" x14ac:dyDescent="0.35">
      <c r="A195" t="s">
        <v>237</v>
      </c>
      <c r="B195" t="s">
        <v>207</v>
      </c>
      <c r="C195" t="s">
        <v>23</v>
      </c>
      <c r="D195">
        <v>0</v>
      </c>
      <c r="E195" t="s">
        <v>60</v>
      </c>
      <c r="L195" t="e">
        <f>E195/D195*100</f>
        <v>#VALUE!</v>
      </c>
    </row>
    <row r="196" spans="1:12" x14ac:dyDescent="0.35">
      <c r="A196" t="s">
        <v>238</v>
      </c>
      <c r="B196" t="s">
        <v>207</v>
      </c>
      <c r="C196" t="s">
        <v>23</v>
      </c>
      <c r="D196">
        <v>47</v>
      </c>
      <c r="E196">
        <v>39</v>
      </c>
      <c r="L196">
        <f>E196/D196*100</f>
        <v>82.978723404255319</v>
      </c>
    </row>
    <row r="197" spans="1:12" x14ac:dyDescent="0.35">
      <c r="A197" t="s">
        <v>239</v>
      </c>
      <c r="B197" t="s">
        <v>207</v>
      </c>
      <c r="C197" t="s">
        <v>23</v>
      </c>
      <c r="D197">
        <v>72</v>
      </c>
      <c r="E197">
        <v>52</v>
      </c>
      <c r="L197">
        <f>E197/D197*100</f>
        <v>72.222222222222214</v>
      </c>
    </row>
    <row r="198" spans="1:12" x14ac:dyDescent="0.35">
      <c r="A198" t="s">
        <v>240</v>
      </c>
      <c r="B198" t="s">
        <v>207</v>
      </c>
      <c r="C198" t="s">
        <v>23</v>
      </c>
      <c r="D198">
        <v>0</v>
      </c>
      <c r="E198" t="s">
        <v>60</v>
      </c>
      <c r="L198" t="e">
        <f>E198/D198*100</f>
        <v>#VALUE!</v>
      </c>
    </row>
    <row r="199" spans="1:12" x14ac:dyDescent="0.35">
      <c r="A199" t="s">
        <v>241</v>
      </c>
      <c r="B199" t="s">
        <v>207</v>
      </c>
      <c r="C199" t="s">
        <v>23</v>
      </c>
      <c r="D199">
        <v>0</v>
      </c>
      <c r="E199" t="s">
        <v>60</v>
      </c>
      <c r="L199" t="e">
        <f>E199/D199*100</f>
        <v>#VALUE!</v>
      </c>
    </row>
    <row r="200" spans="1:12" x14ac:dyDescent="0.35">
      <c r="A200" t="s">
        <v>242</v>
      </c>
      <c r="B200" t="s">
        <v>207</v>
      </c>
      <c r="C200" t="s">
        <v>23</v>
      </c>
      <c r="D200">
        <v>57</v>
      </c>
      <c r="E200">
        <v>0</v>
      </c>
      <c r="L200">
        <f>E200/D200*100</f>
        <v>0</v>
      </c>
    </row>
    <row r="201" spans="1:12" x14ac:dyDescent="0.35">
      <c r="A201" t="s">
        <v>243</v>
      </c>
      <c r="B201" t="s">
        <v>207</v>
      </c>
      <c r="C201" t="s">
        <v>23</v>
      </c>
      <c r="D201">
        <v>0</v>
      </c>
      <c r="E201" t="s">
        <v>60</v>
      </c>
      <c r="L201" t="e">
        <f>E201/D201*100</f>
        <v>#VALUE!</v>
      </c>
    </row>
    <row r="202" spans="1:12" x14ac:dyDescent="0.35">
      <c r="A202" t="s">
        <v>244</v>
      </c>
      <c r="B202" t="s">
        <v>245</v>
      </c>
      <c r="C202" t="s">
        <v>6</v>
      </c>
      <c r="D202">
        <v>121</v>
      </c>
      <c r="E202">
        <v>79</v>
      </c>
      <c r="G202">
        <v>5</v>
      </c>
      <c r="I202">
        <v>9</v>
      </c>
      <c r="L202">
        <f>E202/D202*100</f>
        <v>65.289256198347118</v>
      </c>
    </row>
    <row r="203" spans="1:12" x14ac:dyDescent="0.35">
      <c r="A203" t="s">
        <v>246</v>
      </c>
      <c r="B203" t="s">
        <v>245</v>
      </c>
      <c r="C203" t="s">
        <v>6</v>
      </c>
      <c r="D203">
        <v>130</v>
      </c>
      <c r="E203">
        <v>20</v>
      </c>
      <c r="L203">
        <f>E203/D203*100</f>
        <v>15.384615384615385</v>
      </c>
    </row>
    <row r="204" spans="1:12" x14ac:dyDescent="0.35">
      <c r="A204" t="s">
        <v>247</v>
      </c>
      <c r="B204" t="s">
        <v>245</v>
      </c>
      <c r="C204" t="s">
        <v>6</v>
      </c>
      <c r="D204">
        <v>79</v>
      </c>
      <c r="E204">
        <v>1</v>
      </c>
      <c r="F204" t="s">
        <v>248</v>
      </c>
      <c r="L204">
        <f>E204/D204*100</f>
        <v>1.2658227848101267</v>
      </c>
    </row>
    <row r="205" spans="1:12" x14ac:dyDescent="0.35">
      <c r="A205" t="s">
        <v>249</v>
      </c>
      <c r="B205" t="s">
        <v>245</v>
      </c>
      <c r="C205" t="s">
        <v>6</v>
      </c>
      <c r="D205">
        <v>98</v>
      </c>
      <c r="E205">
        <v>19</v>
      </c>
      <c r="L205">
        <f>E205/D205*100</f>
        <v>19.387755102040817</v>
      </c>
    </row>
    <row r="206" spans="1:12" x14ac:dyDescent="0.35">
      <c r="A206" t="s">
        <v>250</v>
      </c>
      <c r="B206" t="s">
        <v>245</v>
      </c>
      <c r="C206" t="s">
        <v>7</v>
      </c>
      <c r="D206">
        <v>91</v>
      </c>
      <c r="E206">
        <v>0</v>
      </c>
      <c r="F206" t="s">
        <v>251</v>
      </c>
      <c r="G206">
        <v>2</v>
      </c>
      <c r="I206">
        <v>10</v>
      </c>
      <c r="L206">
        <f>E206/D206*100</f>
        <v>0</v>
      </c>
    </row>
    <row r="207" spans="1:12" x14ac:dyDescent="0.35">
      <c r="A207" t="s">
        <v>252</v>
      </c>
      <c r="B207" t="s">
        <v>245</v>
      </c>
      <c r="C207" t="s">
        <v>7</v>
      </c>
      <c r="D207">
        <v>71</v>
      </c>
      <c r="E207">
        <v>2</v>
      </c>
      <c r="L207">
        <f>E207/D207*100</f>
        <v>2.8169014084507045</v>
      </c>
    </row>
    <row r="208" spans="1:12" x14ac:dyDescent="0.35">
      <c r="A208" t="s">
        <v>253</v>
      </c>
      <c r="B208" t="s">
        <v>245</v>
      </c>
      <c r="C208" t="s">
        <v>7</v>
      </c>
      <c r="D208">
        <v>90</v>
      </c>
      <c r="E208">
        <v>9</v>
      </c>
      <c r="L208">
        <f>E208/D208*100</f>
        <v>10</v>
      </c>
    </row>
    <row r="209" spans="1:12" x14ac:dyDescent="0.35">
      <c r="A209" t="s">
        <v>254</v>
      </c>
      <c r="B209" t="s">
        <v>245</v>
      </c>
      <c r="C209" t="s">
        <v>7</v>
      </c>
      <c r="D209">
        <v>56</v>
      </c>
      <c r="E209">
        <v>0</v>
      </c>
      <c r="F209" t="s">
        <v>251</v>
      </c>
      <c r="L209">
        <f>E209/D209*100</f>
        <v>0</v>
      </c>
    </row>
    <row r="210" spans="1:12" x14ac:dyDescent="0.35">
      <c r="A210" t="s">
        <v>255</v>
      </c>
      <c r="B210" t="s">
        <v>245</v>
      </c>
      <c r="C210" t="s">
        <v>7</v>
      </c>
      <c r="D210">
        <v>91</v>
      </c>
      <c r="E210">
        <v>0</v>
      </c>
      <c r="F210" t="s">
        <v>251</v>
      </c>
      <c r="L210">
        <f>E210/D210*100</f>
        <v>0</v>
      </c>
    </row>
    <row r="211" spans="1:12" x14ac:dyDescent="0.35">
      <c r="A211" t="s">
        <v>256</v>
      </c>
      <c r="B211" t="s">
        <v>245</v>
      </c>
      <c r="C211" t="s">
        <v>7</v>
      </c>
      <c r="D211">
        <v>37</v>
      </c>
      <c r="E211">
        <v>0</v>
      </c>
      <c r="F211" t="s">
        <v>251</v>
      </c>
      <c r="L211">
        <f>E211/D211*100</f>
        <v>0</v>
      </c>
    </row>
    <row r="212" spans="1:12" x14ac:dyDescent="0.35">
      <c r="A212" t="s">
        <v>257</v>
      </c>
      <c r="B212" t="s">
        <v>245</v>
      </c>
      <c r="C212" t="s">
        <v>7</v>
      </c>
      <c r="D212">
        <v>73</v>
      </c>
      <c r="E212">
        <v>0</v>
      </c>
      <c r="L212">
        <f>E212/D212*100</f>
        <v>0</v>
      </c>
    </row>
    <row r="213" spans="1:12" x14ac:dyDescent="0.35">
      <c r="A213" t="s">
        <v>258</v>
      </c>
      <c r="B213" t="s">
        <v>245</v>
      </c>
      <c r="C213" t="s">
        <v>7</v>
      </c>
      <c r="D213">
        <v>95</v>
      </c>
      <c r="E213">
        <v>4</v>
      </c>
      <c r="L213">
        <f>E213/D213*100</f>
        <v>4.2105263157894735</v>
      </c>
    </row>
    <row r="214" spans="1:12" x14ac:dyDescent="0.35">
      <c r="A214" t="s">
        <v>259</v>
      </c>
      <c r="B214" t="s">
        <v>245</v>
      </c>
      <c r="C214" t="s">
        <v>21</v>
      </c>
      <c r="D214">
        <v>0</v>
      </c>
      <c r="E214" t="s">
        <v>60</v>
      </c>
      <c r="G214">
        <v>3</v>
      </c>
      <c r="I214">
        <v>10</v>
      </c>
      <c r="L214" t="e">
        <f>E214/D214*100</f>
        <v>#VALUE!</v>
      </c>
    </row>
    <row r="215" spans="1:12" x14ac:dyDescent="0.35">
      <c r="A215" t="s">
        <v>260</v>
      </c>
      <c r="B215" t="s">
        <v>245</v>
      </c>
      <c r="C215" t="s">
        <v>21</v>
      </c>
      <c r="D215">
        <v>41</v>
      </c>
      <c r="E215">
        <v>1</v>
      </c>
      <c r="L215">
        <f>E215/D215*100</f>
        <v>2.4390243902439024</v>
      </c>
    </row>
    <row r="216" spans="1:12" x14ac:dyDescent="0.35">
      <c r="A216" t="s">
        <v>261</v>
      </c>
      <c r="B216" t="s">
        <v>245</v>
      </c>
      <c r="C216" t="s">
        <v>21</v>
      </c>
      <c r="D216">
        <v>23</v>
      </c>
      <c r="E216">
        <v>0</v>
      </c>
      <c r="L216">
        <f>E216/D216*100</f>
        <v>0</v>
      </c>
    </row>
    <row r="217" spans="1:12" x14ac:dyDescent="0.35">
      <c r="A217" t="s">
        <v>262</v>
      </c>
      <c r="B217" t="s">
        <v>245</v>
      </c>
      <c r="C217" t="s">
        <v>21</v>
      </c>
      <c r="D217">
        <v>0</v>
      </c>
      <c r="E217" t="s">
        <v>60</v>
      </c>
      <c r="L217" t="e">
        <f>E217/D217*100</f>
        <v>#VALUE!</v>
      </c>
    </row>
    <row r="218" spans="1:12" x14ac:dyDescent="0.35">
      <c r="A218" t="s">
        <v>263</v>
      </c>
      <c r="B218" t="s">
        <v>245</v>
      </c>
      <c r="C218" t="s">
        <v>21</v>
      </c>
      <c r="D218">
        <v>10</v>
      </c>
      <c r="E218">
        <v>0</v>
      </c>
      <c r="L218">
        <f>E218/D218*100</f>
        <v>0</v>
      </c>
    </row>
    <row r="219" spans="1:12" x14ac:dyDescent="0.35">
      <c r="A219" t="s">
        <v>264</v>
      </c>
      <c r="B219" t="s">
        <v>245</v>
      </c>
      <c r="C219" t="s">
        <v>21</v>
      </c>
      <c r="D219">
        <v>0</v>
      </c>
      <c r="E219" t="s">
        <v>60</v>
      </c>
      <c r="L219" t="e">
        <f>E219/D219*100</f>
        <v>#VALUE!</v>
      </c>
    </row>
    <row r="220" spans="1:12" x14ac:dyDescent="0.35">
      <c r="A220" t="s">
        <v>265</v>
      </c>
      <c r="B220" t="s">
        <v>245</v>
      </c>
      <c r="C220" t="s">
        <v>21</v>
      </c>
      <c r="D220">
        <v>72</v>
      </c>
      <c r="E220">
        <v>6</v>
      </c>
      <c r="L220">
        <f>E220/D220*100</f>
        <v>8.3333333333333321</v>
      </c>
    </row>
    <row r="221" spans="1:12" x14ac:dyDescent="0.35">
      <c r="A221" t="s">
        <v>266</v>
      </c>
      <c r="B221" t="s">
        <v>245</v>
      </c>
      <c r="C221" t="s">
        <v>22</v>
      </c>
      <c r="D221">
        <v>16</v>
      </c>
      <c r="E221">
        <v>0</v>
      </c>
      <c r="G221">
        <v>6</v>
      </c>
      <c r="I221">
        <v>10</v>
      </c>
      <c r="L221">
        <f>E221/D221*100</f>
        <v>0</v>
      </c>
    </row>
    <row r="222" spans="1:12" x14ac:dyDescent="0.35">
      <c r="A222" t="s">
        <v>267</v>
      </c>
      <c r="B222" t="s">
        <v>245</v>
      </c>
      <c r="C222" t="s">
        <v>22</v>
      </c>
      <c r="D222">
        <v>0</v>
      </c>
      <c r="E222" t="s">
        <v>60</v>
      </c>
      <c r="L222" t="e">
        <f>E222/D222*100</f>
        <v>#VALUE!</v>
      </c>
    </row>
    <row r="223" spans="1:12" x14ac:dyDescent="0.35">
      <c r="A223" t="s">
        <v>268</v>
      </c>
      <c r="B223" t="s">
        <v>245</v>
      </c>
      <c r="C223" t="s">
        <v>22</v>
      </c>
      <c r="D223">
        <v>29</v>
      </c>
      <c r="E223">
        <v>6</v>
      </c>
      <c r="L223">
        <f>E223/D223*100</f>
        <v>20.689655172413794</v>
      </c>
    </row>
    <row r="224" spans="1:12" x14ac:dyDescent="0.35">
      <c r="A224" t="s">
        <v>269</v>
      </c>
      <c r="B224" t="s">
        <v>245</v>
      </c>
      <c r="C224" t="s">
        <v>22</v>
      </c>
      <c r="D224">
        <v>0</v>
      </c>
      <c r="E224" t="s">
        <v>60</v>
      </c>
      <c r="L224" t="e">
        <f>E224/D224*100</f>
        <v>#VALUE!</v>
      </c>
    </row>
    <row r="225" spans="1:12" x14ac:dyDescent="0.35">
      <c r="A225" t="s">
        <v>270</v>
      </c>
      <c r="B225" t="s">
        <v>245</v>
      </c>
      <c r="C225" t="s">
        <v>23</v>
      </c>
      <c r="D225">
        <v>103</v>
      </c>
      <c r="E225">
        <v>42</v>
      </c>
      <c r="G225" t="s">
        <v>271</v>
      </c>
      <c r="I225">
        <v>10</v>
      </c>
      <c r="L225">
        <f>E225/D225*100</f>
        <v>40.776699029126213</v>
      </c>
    </row>
    <row r="226" spans="1:12" x14ac:dyDescent="0.35">
      <c r="A226" t="s">
        <v>272</v>
      </c>
      <c r="B226" t="s">
        <v>245</v>
      </c>
      <c r="C226" t="s">
        <v>23</v>
      </c>
      <c r="D226">
        <v>88</v>
      </c>
      <c r="E226">
        <v>33</v>
      </c>
      <c r="L226">
        <f>E226/D226*100</f>
        <v>37.5</v>
      </c>
    </row>
    <row r="227" spans="1:12" x14ac:dyDescent="0.35">
      <c r="A227" t="s">
        <v>273</v>
      </c>
      <c r="B227" t="s">
        <v>245</v>
      </c>
      <c r="C227" t="s">
        <v>23</v>
      </c>
      <c r="D227">
        <v>47</v>
      </c>
      <c r="E227">
        <v>38</v>
      </c>
      <c r="L227">
        <f>E227/D227*100</f>
        <v>80.851063829787222</v>
      </c>
    </row>
    <row r="228" spans="1:12" x14ac:dyDescent="0.35">
      <c r="A228" t="s">
        <v>274</v>
      </c>
      <c r="B228" t="s">
        <v>245</v>
      </c>
      <c r="C228" t="s">
        <v>23</v>
      </c>
      <c r="D228">
        <v>0</v>
      </c>
      <c r="E228" t="s">
        <v>60</v>
      </c>
      <c r="L228" t="e">
        <f>E228/D228*100</f>
        <v>#VALUE!</v>
      </c>
    </row>
    <row r="229" spans="1:12" x14ac:dyDescent="0.35">
      <c r="A229" t="s">
        <v>275</v>
      </c>
      <c r="B229" t="s">
        <v>245</v>
      </c>
      <c r="C229" t="s">
        <v>23</v>
      </c>
      <c r="D229">
        <v>42</v>
      </c>
      <c r="E229">
        <v>0</v>
      </c>
      <c r="F229" t="s">
        <v>251</v>
      </c>
      <c r="L229">
        <f>E229/D229*100</f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43FF-F91F-43B4-B2AB-6D57C4E269B7}">
  <dimension ref="B2:M48"/>
  <sheetViews>
    <sheetView zoomScale="120" zoomScaleNormal="120" workbookViewId="0">
      <selection activeCell="D45" sqref="D45"/>
    </sheetView>
  </sheetViews>
  <sheetFormatPr defaultColWidth="8.90625" defaultRowHeight="12.5" x14ac:dyDescent="0.35"/>
  <cols>
    <col min="1" max="1" width="8.90625" style="4"/>
    <col min="2" max="2" width="9.90625" style="4" bestFit="1" customWidth="1"/>
    <col min="3" max="3" width="17" style="4" bestFit="1" customWidth="1"/>
    <col min="4" max="4" width="8.6328125" style="4" bestFit="1" customWidth="1"/>
    <col min="5" max="5" width="9.36328125" style="4" bestFit="1" customWidth="1"/>
    <col min="6" max="6" width="8.90625" style="4"/>
    <col min="7" max="7" width="18.54296875" style="4" bestFit="1" customWidth="1"/>
    <col min="8" max="16384" width="8.90625" style="4"/>
  </cols>
  <sheetData>
    <row r="2" spans="2:13" x14ac:dyDescent="0.3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35">
      <c r="G3" s="7"/>
    </row>
    <row r="7" spans="2:13" x14ac:dyDescent="0.35">
      <c r="B7" s="7" t="s">
        <v>303</v>
      </c>
      <c r="C7" s="7"/>
      <c r="D7" s="7"/>
    </row>
    <row r="8" spans="2:13" ht="13" x14ac:dyDescent="0.35">
      <c r="B8" s="5" t="s">
        <v>332</v>
      </c>
      <c r="C8" s="4" t="s">
        <v>325</v>
      </c>
      <c r="D8" s="5" t="s">
        <v>333</v>
      </c>
    </row>
    <row r="9" spans="2:13" x14ac:dyDescent="0.35">
      <c r="B9" s="4" t="s">
        <v>305</v>
      </c>
      <c r="C9" s="4" t="s">
        <v>324</v>
      </c>
      <c r="D9" s="4" t="s">
        <v>334</v>
      </c>
    </row>
    <row r="10" spans="2:13" ht="13" x14ac:dyDescent="0.35">
      <c r="B10" s="4" t="s">
        <v>334</v>
      </c>
      <c r="C10" s="4" t="s">
        <v>326</v>
      </c>
      <c r="D10" s="4" t="s">
        <v>309</v>
      </c>
    </row>
    <row r="11" spans="2:13" x14ac:dyDescent="0.35">
      <c r="B11" s="4" t="s">
        <v>306</v>
      </c>
      <c r="C11" s="4" t="s">
        <v>327</v>
      </c>
      <c r="D11" s="4" t="s">
        <v>312</v>
      </c>
    </row>
    <row r="12" spans="2:13" x14ac:dyDescent="0.35">
      <c r="B12" s="4" t="s">
        <v>307</v>
      </c>
      <c r="C12" s="4" t="s">
        <v>328</v>
      </c>
      <c r="D12" s="4" t="s">
        <v>310</v>
      </c>
    </row>
    <row r="13" spans="2:13" x14ac:dyDescent="0.35">
      <c r="B13" s="4" t="s">
        <v>334</v>
      </c>
      <c r="C13" s="4" t="s">
        <v>330</v>
      </c>
      <c r="D13" s="4" t="s">
        <v>310</v>
      </c>
    </row>
    <row r="14" spans="2:13" x14ac:dyDescent="0.35">
      <c r="B14" s="4" t="s">
        <v>308</v>
      </c>
      <c r="C14" s="4" t="s">
        <v>329</v>
      </c>
      <c r="D14" s="4" t="s">
        <v>311</v>
      </c>
    </row>
    <row r="15" spans="2:13" x14ac:dyDescent="0.35">
      <c r="B15" s="4" t="s">
        <v>305</v>
      </c>
      <c r="C15" s="4" t="s">
        <v>331</v>
      </c>
      <c r="D15" s="4" t="s">
        <v>313</v>
      </c>
    </row>
    <row r="18" spans="2:4" x14ac:dyDescent="0.35">
      <c r="B18" s="7" t="s">
        <v>304</v>
      </c>
      <c r="C18" s="7"/>
      <c r="D18" s="7"/>
    </row>
    <row r="19" spans="2:4" ht="13" x14ac:dyDescent="0.35">
      <c r="B19" s="5" t="s">
        <v>332</v>
      </c>
      <c r="C19" s="4" t="s">
        <v>325</v>
      </c>
      <c r="D19" s="5" t="s">
        <v>333</v>
      </c>
    </row>
    <row r="20" spans="2:4" x14ac:dyDescent="0.35">
      <c r="B20" s="4" t="s">
        <v>314</v>
      </c>
      <c r="C20" s="4" t="s">
        <v>324</v>
      </c>
      <c r="D20" s="4" t="s">
        <v>334</v>
      </c>
    </row>
    <row r="21" spans="2:4" ht="13" x14ac:dyDescent="0.35">
      <c r="B21" s="4" t="s">
        <v>334</v>
      </c>
      <c r="C21" s="4" t="s">
        <v>326</v>
      </c>
      <c r="D21" s="4" t="s">
        <v>318</v>
      </c>
    </row>
    <row r="22" spans="2:4" x14ac:dyDescent="0.35">
      <c r="B22" s="4" t="s">
        <v>315</v>
      </c>
      <c r="C22" s="4" t="s">
        <v>327</v>
      </c>
      <c r="D22" s="4" t="s">
        <v>311</v>
      </c>
    </row>
    <row r="23" spans="2:4" x14ac:dyDescent="0.35">
      <c r="B23" s="4" t="s">
        <v>316</v>
      </c>
      <c r="C23" s="4" t="s">
        <v>328</v>
      </c>
      <c r="D23" s="4" t="s">
        <v>319</v>
      </c>
    </row>
    <row r="24" spans="2:4" x14ac:dyDescent="0.35">
      <c r="B24" s="4" t="s">
        <v>334</v>
      </c>
      <c r="C24" s="4" t="s">
        <v>330</v>
      </c>
      <c r="D24" s="4" t="s">
        <v>320</v>
      </c>
    </row>
    <row r="25" spans="2:4" x14ac:dyDescent="0.35">
      <c r="B25" s="4" t="s">
        <v>322</v>
      </c>
      <c r="C25" s="4" t="s">
        <v>329</v>
      </c>
      <c r="D25" s="4" t="s">
        <v>321</v>
      </c>
    </row>
    <row r="26" spans="2:4" x14ac:dyDescent="0.35">
      <c r="B26" s="4" t="s">
        <v>317</v>
      </c>
      <c r="C26" s="4" t="s">
        <v>331</v>
      </c>
      <c r="D26" s="4" t="s">
        <v>323</v>
      </c>
    </row>
    <row r="29" spans="2:4" x14ac:dyDescent="0.35">
      <c r="B29" s="7" t="s">
        <v>346</v>
      </c>
      <c r="C29" s="7"/>
      <c r="D29" s="7"/>
    </row>
    <row r="30" spans="2:4" ht="13" x14ac:dyDescent="0.35">
      <c r="B30" s="5" t="s">
        <v>332</v>
      </c>
      <c r="C30" s="4" t="s">
        <v>325</v>
      </c>
      <c r="D30" s="5" t="s">
        <v>333</v>
      </c>
    </row>
    <row r="31" spans="2:4" x14ac:dyDescent="0.35">
      <c r="B31" s="4" t="s">
        <v>335</v>
      </c>
      <c r="C31" s="4" t="s">
        <v>324</v>
      </c>
      <c r="D31" s="4" t="s">
        <v>334</v>
      </c>
    </row>
    <row r="32" spans="2:4" ht="13" x14ac:dyDescent="0.35">
      <c r="B32" s="4" t="s">
        <v>334</v>
      </c>
      <c r="C32" s="4" t="s">
        <v>326</v>
      </c>
      <c r="D32" s="4" t="s">
        <v>339</v>
      </c>
    </row>
    <row r="33" spans="2:4" x14ac:dyDescent="0.35">
      <c r="B33" s="4" t="s">
        <v>336</v>
      </c>
      <c r="C33" s="4" t="s">
        <v>327</v>
      </c>
      <c r="D33" s="4" t="s">
        <v>340</v>
      </c>
    </row>
    <row r="34" spans="2:4" x14ac:dyDescent="0.35">
      <c r="B34" s="4" t="s">
        <v>337</v>
      </c>
      <c r="C34" s="4" t="s">
        <v>328</v>
      </c>
      <c r="D34" s="4" t="s">
        <v>345</v>
      </c>
    </row>
    <row r="35" spans="2:4" x14ac:dyDescent="0.35">
      <c r="B35" s="4" t="s">
        <v>334</v>
      </c>
      <c r="C35" s="4" t="s">
        <v>330</v>
      </c>
      <c r="D35" s="4" t="s">
        <v>341</v>
      </c>
    </row>
    <row r="36" spans="2:4" x14ac:dyDescent="0.35">
      <c r="B36" s="4" t="s">
        <v>338</v>
      </c>
      <c r="C36" s="4" t="s">
        <v>329</v>
      </c>
      <c r="D36" s="4" t="s">
        <v>342</v>
      </c>
    </row>
    <row r="37" spans="2:4" x14ac:dyDescent="0.35">
      <c r="B37" s="4" t="s">
        <v>344</v>
      </c>
      <c r="C37" s="4" t="s">
        <v>331</v>
      </c>
      <c r="D37" s="4" t="s">
        <v>343</v>
      </c>
    </row>
    <row r="40" spans="2:4" x14ac:dyDescent="0.35">
      <c r="B40" s="7" t="s">
        <v>347</v>
      </c>
      <c r="C40" s="7"/>
      <c r="D40" s="7"/>
    </row>
    <row r="41" spans="2:4" ht="13" x14ac:dyDescent="0.35">
      <c r="B41" s="5" t="s">
        <v>332</v>
      </c>
      <c r="C41" s="4" t="s">
        <v>325</v>
      </c>
      <c r="D41" s="5" t="s">
        <v>333</v>
      </c>
    </row>
    <row r="42" spans="2:4" x14ac:dyDescent="0.35">
      <c r="B42" s="4" t="s">
        <v>348</v>
      </c>
      <c r="C42" s="4" t="s">
        <v>324</v>
      </c>
      <c r="D42" s="4" t="s">
        <v>334</v>
      </c>
    </row>
    <row r="43" spans="2:4" ht="13" x14ac:dyDescent="0.35">
      <c r="B43" s="4" t="s">
        <v>334</v>
      </c>
      <c r="C43" s="4" t="s">
        <v>326</v>
      </c>
      <c r="D43" s="4" t="s">
        <v>353</v>
      </c>
    </row>
    <row r="44" spans="2:4" x14ac:dyDescent="0.35">
      <c r="B44" s="4" t="s">
        <v>349</v>
      </c>
      <c r="C44" s="4" t="s">
        <v>327</v>
      </c>
      <c r="D44" s="4" t="s">
        <v>339</v>
      </c>
    </row>
    <row r="45" spans="2:4" x14ac:dyDescent="0.35">
      <c r="B45" s="4" t="s">
        <v>350</v>
      </c>
      <c r="C45" s="4" t="s">
        <v>328</v>
      </c>
      <c r="D45" s="6" t="s">
        <v>357</v>
      </c>
    </row>
    <row r="46" spans="2:4" x14ac:dyDescent="0.35">
      <c r="B46" s="4" t="s">
        <v>334</v>
      </c>
      <c r="C46" s="4" t="s">
        <v>330</v>
      </c>
      <c r="D46" s="4" t="s">
        <v>354</v>
      </c>
    </row>
    <row r="47" spans="2:4" x14ac:dyDescent="0.35">
      <c r="B47" s="4" t="s">
        <v>351</v>
      </c>
      <c r="C47" s="4" t="s">
        <v>329</v>
      </c>
      <c r="D47" s="4" t="s">
        <v>355</v>
      </c>
    </row>
    <row r="48" spans="2:4" x14ac:dyDescent="0.35">
      <c r="B48" s="4" t="s">
        <v>352</v>
      </c>
      <c r="C48" s="4" t="s">
        <v>331</v>
      </c>
      <c r="D48" s="4" t="s">
        <v>356</v>
      </c>
    </row>
  </sheetData>
  <mergeCells count="7">
    <mergeCell ref="B29:D29"/>
    <mergeCell ref="B40:D40"/>
    <mergeCell ref="B2:F2"/>
    <mergeCell ref="H2:M2"/>
    <mergeCell ref="G2:G3"/>
    <mergeCell ref="B7:D7"/>
    <mergeCell ref="B18:D18"/>
  </mergeCells>
  <pageMargins left="0.7" right="0.7" top="0.75" bottom="0.75" header="0.3" footer="0.3"/>
  <pageSetup paperSize="9" orientation="portrait" r:id="rId1"/>
  <ignoredErrors>
    <ignoredError sqref="D4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 KO survival</vt:lpstr>
      <vt:lpstr>Cd KO fertility</vt:lpstr>
      <vt:lpstr>1759 survival</vt:lpstr>
      <vt:lpstr>2072 survival</vt:lpstr>
      <vt:lpstr>1759 fertility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Edwards</dc:creator>
  <cp:lastModifiedBy>Philip Leftwich (BIO - Staff)</cp:lastModifiedBy>
  <cp:lastPrinted>2022-01-20T11:15:08Z</cp:lastPrinted>
  <dcterms:created xsi:type="dcterms:W3CDTF">2021-07-12T09:10:26Z</dcterms:created>
  <dcterms:modified xsi:type="dcterms:W3CDTF">2025-10-12T17:32:40Z</dcterms:modified>
</cp:coreProperties>
</file>