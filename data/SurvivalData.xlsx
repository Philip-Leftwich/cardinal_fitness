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anorwich-my.sharepoint.com/personal/hpd08ucu_uea_ac_uk/Documents/Manuscripts/cardinal_fitness/data/"/>
    </mc:Choice>
  </mc:AlternateContent>
  <xr:revisionPtr revIDLastSave="1" documentId="13_ncr:1_{2420DEB8-8887-476C-9145-B2383A2503A8}" xr6:coauthVersionLast="47" xr6:coauthVersionMax="47" xr10:uidLastSave="{9136EC9A-C6C3-4FD3-AE53-4884C927869B}"/>
  <bookViews>
    <workbookView minimized="1" xWindow="31080" yWindow="2070" windowWidth="14400" windowHeight="8175" xr2:uid="{51CB0BA6-2C65-423F-A414-15434B2754D4}"/>
  </bookViews>
  <sheets>
    <sheet name="1759" sheetId="1" r:id="rId1"/>
    <sheet name="QA383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G12" i="2"/>
  <c r="G10" i="2"/>
  <c r="G8" i="2"/>
  <c r="N7" i="2"/>
  <c r="M7" i="2"/>
  <c r="N6" i="2"/>
  <c r="M6" i="2"/>
  <c r="G6" i="2"/>
  <c r="N5" i="2"/>
  <c r="M5" i="2"/>
  <c r="N4" i="2"/>
  <c r="M4" i="2"/>
  <c r="G4" i="2"/>
  <c r="N3" i="2"/>
  <c r="M3" i="2"/>
  <c r="N2" i="2"/>
  <c r="M2" i="2"/>
  <c r="G2" i="2"/>
  <c r="G12" i="1"/>
  <c r="G10" i="1"/>
  <c r="G8" i="1"/>
  <c r="N7" i="1"/>
  <c r="M7" i="1"/>
  <c r="N6" i="1"/>
  <c r="M6" i="1"/>
  <c r="G6" i="1"/>
  <c r="N5" i="1"/>
  <c r="M5" i="1"/>
  <c r="N4" i="1"/>
  <c r="M4" i="1"/>
  <c r="G4" i="1"/>
  <c r="N3" i="1"/>
  <c r="M3" i="1"/>
  <c r="G2" i="1"/>
</calcChain>
</file>

<file path=xl/sharedStrings.xml><?xml version="1.0" encoding="utf-8"?>
<sst xmlns="http://schemas.openxmlformats.org/spreadsheetml/2006/main" count="78" uniqueCount="27">
  <si>
    <t>Genotype</t>
  </si>
  <si>
    <t>Tray</t>
  </si>
  <si>
    <t>Sex</t>
  </si>
  <si>
    <t>Larvae</t>
  </si>
  <si>
    <t>Pupae</t>
  </si>
  <si>
    <t>Adults</t>
  </si>
  <si>
    <t>Means</t>
  </si>
  <si>
    <t>Adult</t>
  </si>
  <si>
    <t>WT</t>
  </si>
  <si>
    <t>Male</t>
  </si>
  <si>
    <t>WT male</t>
  </si>
  <si>
    <t>Female</t>
  </si>
  <si>
    <t>WT female</t>
  </si>
  <si>
    <t>HET male</t>
  </si>
  <si>
    <t>HET female</t>
  </si>
  <si>
    <t>HET</t>
  </si>
  <si>
    <t>HOM male</t>
  </si>
  <si>
    <t>HOM female</t>
  </si>
  <si>
    <t>HOM</t>
  </si>
  <si>
    <t>adults</t>
  </si>
  <si>
    <t>SDA-500</t>
  </si>
  <si>
    <t>male</t>
  </si>
  <si>
    <t>SDA-500 male</t>
  </si>
  <si>
    <t>female</t>
  </si>
  <si>
    <t>SDA-500 female</t>
  </si>
  <si>
    <t>CdKO Het</t>
  </si>
  <si>
    <t>CdKO 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</si>
</sst>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3766-B8F2-4B7E-A299-AE4BD85F06F8}">
  <dimension ref="A1:N13"/>
  <sheetViews>
    <sheetView tabSelected="1" workbookViewId="0">
      <selection activeCell="M16" sqref="M1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6</v>
      </c>
      <c r="M1" s="1" t="s">
        <v>4</v>
      </c>
      <c r="N1" s="1" t="s">
        <v>7</v>
      </c>
    </row>
    <row r="2" spans="1:14" x14ac:dyDescent="0.35">
      <c r="A2" s="1" t="s">
        <v>8</v>
      </c>
      <c r="B2" s="1">
        <v>5</v>
      </c>
      <c r="C2" s="1" t="s">
        <v>9</v>
      </c>
      <c r="D2" s="1">
        <v>200</v>
      </c>
      <c r="E2" s="1">
        <v>104</v>
      </c>
      <c r="F2" s="1">
        <v>102</v>
      </c>
      <c r="G2" s="1">
        <f>SUM(F2:F3)</f>
        <v>192</v>
      </c>
      <c r="J2" s="1" t="s">
        <v>10</v>
      </c>
      <c r="M2" s="1">
        <f>(E2+E4)/2</f>
        <v>107</v>
      </c>
      <c r="N2" s="1">
        <f>(F2+F4)/2</f>
        <v>105.5</v>
      </c>
    </row>
    <row r="3" spans="1:14" x14ac:dyDescent="0.35">
      <c r="A3" s="1" t="s">
        <v>8</v>
      </c>
      <c r="B3" s="1">
        <v>5</v>
      </c>
      <c r="C3" s="1" t="s">
        <v>11</v>
      </c>
      <c r="D3" s="1">
        <v>200</v>
      </c>
      <c r="E3" s="1">
        <v>90</v>
      </c>
      <c r="F3" s="1">
        <v>90</v>
      </c>
      <c r="J3" s="1" t="s">
        <v>12</v>
      </c>
      <c r="M3" s="1">
        <f t="shared" ref="M3:N3" si="0">(E3+E5)/2</f>
        <v>86.5</v>
      </c>
      <c r="N3" s="1">
        <f t="shared" si="0"/>
        <v>86</v>
      </c>
    </row>
    <row r="4" spans="1:14" x14ac:dyDescent="0.35">
      <c r="A4" s="1" t="s">
        <v>8</v>
      </c>
      <c r="B4" s="1">
        <v>6</v>
      </c>
      <c r="C4" s="1" t="s">
        <v>9</v>
      </c>
      <c r="D4" s="1">
        <v>200</v>
      </c>
      <c r="E4" s="1">
        <v>110</v>
      </c>
      <c r="F4" s="1">
        <v>109</v>
      </c>
      <c r="G4" s="1">
        <f>SUM(F4:F5)</f>
        <v>191</v>
      </c>
      <c r="J4" s="1" t="s">
        <v>13</v>
      </c>
      <c r="M4" s="1">
        <f t="shared" ref="M4:N5" si="1">(E6+E8)/2</f>
        <v>94.5</v>
      </c>
      <c r="N4" s="1">
        <f t="shared" si="1"/>
        <v>93.5</v>
      </c>
    </row>
    <row r="5" spans="1:14" x14ac:dyDescent="0.35">
      <c r="A5" s="1" t="s">
        <v>8</v>
      </c>
      <c r="B5" s="1">
        <v>6</v>
      </c>
      <c r="C5" s="1" t="s">
        <v>11</v>
      </c>
      <c r="D5" s="1">
        <v>200</v>
      </c>
      <c r="E5" s="1">
        <v>83</v>
      </c>
      <c r="F5" s="1">
        <v>82</v>
      </c>
      <c r="J5" s="1" t="s">
        <v>14</v>
      </c>
      <c r="M5" s="1">
        <f t="shared" si="1"/>
        <v>100.5</v>
      </c>
      <c r="N5" s="1">
        <f t="shared" si="1"/>
        <v>100.5</v>
      </c>
    </row>
    <row r="6" spans="1:14" x14ac:dyDescent="0.35">
      <c r="A6" s="1" t="s">
        <v>15</v>
      </c>
      <c r="B6" s="1">
        <v>1</v>
      </c>
      <c r="C6" s="1" t="s">
        <v>9</v>
      </c>
      <c r="D6" s="1">
        <v>200</v>
      </c>
      <c r="E6" s="1">
        <v>100</v>
      </c>
      <c r="F6" s="1">
        <v>100</v>
      </c>
      <c r="G6" s="1">
        <f>SUM(F6:F7)</f>
        <v>198</v>
      </c>
      <c r="J6" s="1" t="s">
        <v>16</v>
      </c>
      <c r="M6" s="1">
        <f t="shared" ref="M6:N7" si="2">(E10+E12)/2</f>
        <v>39.5</v>
      </c>
      <c r="N6" s="1">
        <f t="shared" si="2"/>
        <v>27</v>
      </c>
    </row>
    <row r="7" spans="1:14" x14ac:dyDescent="0.35">
      <c r="A7" s="1" t="s">
        <v>15</v>
      </c>
      <c r="B7" s="1">
        <v>1</v>
      </c>
      <c r="C7" s="1" t="s">
        <v>11</v>
      </c>
      <c r="D7" s="1">
        <v>200</v>
      </c>
      <c r="E7" s="1">
        <v>98</v>
      </c>
      <c r="F7" s="1">
        <v>98</v>
      </c>
      <c r="J7" s="1" t="s">
        <v>17</v>
      </c>
      <c r="M7" s="1">
        <f t="shared" si="2"/>
        <v>3</v>
      </c>
      <c r="N7" s="1">
        <f t="shared" si="2"/>
        <v>1.5</v>
      </c>
    </row>
    <row r="8" spans="1:14" x14ac:dyDescent="0.35">
      <c r="A8" s="1" t="s">
        <v>15</v>
      </c>
      <c r="B8" s="1">
        <v>2</v>
      </c>
      <c r="C8" s="1" t="s">
        <v>9</v>
      </c>
      <c r="D8" s="1">
        <v>200</v>
      </c>
      <c r="E8" s="1">
        <v>89</v>
      </c>
      <c r="F8" s="1">
        <v>87</v>
      </c>
      <c r="G8" s="1">
        <f>SUM(F8:F9)</f>
        <v>190</v>
      </c>
    </row>
    <row r="9" spans="1:14" x14ac:dyDescent="0.35">
      <c r="A9" s="1" t="s">
        <v>15</v>
      </c>
      <c r="B9" s="1">
        <v>2</v>
      </c>
      <c r="C9" s="1" t="s">
        <v>11</v>
      </c>
      <c r="D9" s="1">
        <v>200</v>
      </c>
      <c r="E9" s="1">
        <v>103</v>
      </c>
      <c r="F9" s="1">
        <v>103</v>
      </c>
    </row>
    <row r="10" spans="1:14" x14ac:dyDescent="0.35">
      <c r="A10" s="1" t="s">
        <v>18</v>
      </c>
      <c r="B10" s="1">
        <v>3</v>
      </c>
      <c r="C10" s="1" t="s">
        <v>9</v>
      </c>
      <c r="D10" s="1">
        <v>200</v>
      </c>
      <c r="E10" s="1">
        <v>28</v>
      </c>
      <c r="F10" s="1">
        <v>24</v>
      </c>
      <c r="G10" s="1">
        <f>SUM(F10:F11)</f>
        <v>25</v>
      </c>
    </row>
    <row r="11" spans="1:14" x14ac:dyDescent="0.35">
      <c r="A11" s="1" t="s">
        <v>18</v>
      </c>
      <c r="B11" s="1">
        <v>3</v>
      </c>
      <c r="C11" s="1" t="s">
        <v>11</v>
      </c>
      <c r="D11" s="1">
        <v>200</v>
      </c>
      <c r="E11" s="1">
        <v>3</v>
      </c>
      <c r="F11" s="1">
        <v>1</v>
      </c>
    </row>
    <row r="12" spans="1:14" x14ac:dyDescent="0.35">
      <c r="A12" s="1" t="s">
        <v>18</v>
      </c>
      <c r="B12" s="1">
        <v>4</v>
      </c>
      <c r="C12" s="1" t="s">
        <v>9</v>
      </c>
      <c r="D12" s="1">
        <v>200</v>
      </c>
      <c r="E12" s="1">
        <v>51</v>
      </c>
      <c r="F12" s="1">
        <v>30</v>
      </c>
      <c r="G12" s="1">
        <f>SUM(F12:F13)</f>
        <v>32</v>
      </c>
    </row>
    <row r="13" spans="1:14" x14ac:dyDescent="0.35">
      <c r="A13" s="1" t="s">
        <v>18</v>
      </c>
      <c r="B13" s="1">
        <v>4</v>
      </c>
      <c r="C13" s="1" t="s">
        <v>11</v>
      </c>
      <c r="D13" s="1">
        <v>200</v>
      </c>
      <c r="E13" s="1">
        <v>3</v>
      </c>
      <c r="F13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715A-D451-4EB5-A0D4-B781B4C2B161}">
  <dimension ref="A1:N13"/>
  <sheetViews>
    <sheetView workbookViewId="0">
      <selection activeCell="A10" sqref="A10:G13"/>
    </sheetView>
  </sheetViews>
  <sheetFormatPr defaultRowHeight="14.5" x14ac:dyDescent="0.35"/>
  <cols>
    <col min="1" max="1" width="20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6</v>
      </c>
      <c r="M1" s="1" t="s">
        <v>4</v>
      </c>
      <c r="N1" s="1" t="s">
        <v>19</v>
      </c>
    </row>
    <row r="2" spans="1:14" x14ac:dyDescent="0.35">
      <c r="A2" s="1" t="s">
        <v>20</v>
      </c>
      <c r="B2" s="1">
        <v>6</v>
      </c>
      <c r="C2" s="1" t="s">
        <v>21</v>
      </c>
      <c r="D2" s="1">
        <v>200</v>
      </c>
      <c r="E2" s="1">
        <v>101</v>
      </c>
      <c r="F2" s="1">
        <v>100</v>
      </c>
      <c r="G2" s="1">
        <f>SUM(F2:F3)</f>
        <v>192</v>
      </c>
      <c r="J2" s="1" t="s">
        <v>22</v>
      </c>
      <c r="M2" s="1">
        <f t="shared" ref="M2:N3" si="0">(E2+E4)/2</f>
        <v>104.5</v>
      </c>
      <c r="N2" s="1">
        <f t="shared" si="0"/>
        <v>104</v>
      </c>
    </row>
    <row r="3" spans="1:14" x14ac:dyDescent="0.35">
      <c r="A3" s="1" t="s">
        <v>20</v>
      </c>
      <c r="B3" s="1">
        <v>6</v>
      </c>
      <c r="C3" s="1" t="s">
        <v>23</v>
      </c>
      <c r="D3" s="1">
        <v>200</v>
      </c>
      <c r="E3" s="1">
        <v>93</v>
      </c>
      <c r="F3" s="1">
        <v>92</v>
      </c>
      <c r="J3" s="1" t="s">
        <v>24</v>
      </c>
      <c r="M3" s="1">
        <f t="shared" si="0"/>
        <v>89</v>
      </c>
      <c r="N3" s="1">
        <f t="shared" si="0"/>
        <v>88</v>
      </c>
    </row>
    <row r="4" spans="1:14" x14ac:dyDescent="0.35">
      <c r="A4" s="1" t="s">
        <v>20</v>
      </c>
      <c r="B4" s="1">
        <v>5</v>
      </c>
      <c r="C4" s="1" t="s">
        <v>21</v>
      </c>
      <c r="D4" s="1">
        <v>200</v>
      </c>
      <c r="E4" s="1">
        <v>108</v>
      </c>
      <c r="F4" s="1">
        <v>108</v>
      </c>
      <c r="G4" s="1">
        <f>SUM(F4:F5)</f>
        <v>192</v>
      </c>
      <c r="J4" s="1" t="s">
        <v>13</v>
      </c>
      <c r="M4" s="1">
        <f t="shared" ref="M4:N5" si="1">(E6+E8)/2</f>
        <v>98</v>
      </c>
      <c r="N4" s="1">
        <f t="shared" si="1"/>
        <v>97.5</v>
      </c>
    </row>
    <row r="5" spans="1:14" x14ac:dyDescent="0.35">
      <c r="A5" s="1" t="s">
        <v>20</v>
      </c>
      <c r="B5" s="1">
        <v>5</v>
      </c>
      <c r="C5" s="1" t="s">
        <v>23</v>
      </c>
      <c r="D5" s="1">
        <v>200</v>
      </c>
      <c r="E5" s="1">
        <v>85</v>
      </c>
      <c r="F5" s="1">
        <v>84</v>
      </c>
      <c r="J5" s="1" t="s">
        <v>14</v>
      </c>
      <c r="M5" s="1">
        <f t="shared" si="1"/>
        <v>91</v>
      </c>
      <c r="N5" s="1">
        <f t="shared" si="1"/>
        <v>90.5</v>
      </c>
    </row>
    <row r="6" spans="1:14" x14ac:dyDescent="0.35">
      <c r="A6" s="1" t="s">
        <v>25</v>
      </c>
      <c r="B6" s="1">
        <v>4</v>
      </c>
      <c r="C6" s="1" t="s">
        <v>21</v>
      </c>
      <c r="D6" s="1">
        <v>200</v>
      </c>
      <c r="E6" s="1">
        <v>92</v>
      </c>
      <c r="F6" s="1">
        <v>91</v>
      </c>
      <c r="G6" s="1">
        <f>SUM(F6:F7)</f>
        <v>186</v>
      </c>
      <c r="J6" s="1" t="s">
        <v>16</v>
      </c>
      <c r="M6" s="1">
        <f t="shared" ref="M6:N7" si="2">(E10+E12)/2</f>
        <v>91</v>
      </c>
      <c r="N6" s="1">
        <f t="shared" si="2"/>
        <v>90.5</v>
      </c>
    </row>
    <row r="7" spans="1:14" x14ac:dyDescent="0.35">
      <c r="A7" s="1" t="s">
        <v>25</v>
      </c>
      <c r="B7" s="1">
        <v>4</v>
      </c>
      <c r="C7" s="1" t="s">
        <v>23</v>
      </c>
      <c r="D7" s="1">
        <v>200</v>
      </c>
      <c r="E7" s="1">
        <v>95</v>
      </c>
      <c r="F7" s="1">
        <v>95</v>
      </c>
      <c r="J7" s="1" t="s">
        <v>17</v>
      </c>
      <c r="M7" s="1">
        <f t="shared" si="2"/>
        <v>101</v>
      </c>
      <c r="N7" s="1">
        <f t="shared" si="2"/>
        <v>100.5</v>
      </c>
    </row>
    <row r="8" spans="1:14" x14ac:dyDescent="0.35">
      <c r="A8" s="1" t="s">
        <v>25</v>
      </c>
      <c r="B8" s="1">
        <v>3</v>
      </c>
      <c r="C8" s="1" t="s">
        <v>21</v>
      </c>
      <c r="D8" s="1">
        <v>200</v>
      </c>
      <c r="E8" s="1">
        <v>104</v>
      </c>
      <c r="F8" s="1">
        <v>104</v>
      </c>
      <c r="G8" s="1">
        <f>SUM(F8:F9)</f>
        <v>190</v>
      </c>
    </row>
    <row r="9" spans="1:14" x14ac:dyDescent="0.35">
      <c r="A9" s="1" t="s">
        <v>25</v>
      </c>
      <c r="B9" s="1">
        <v>3</v>
      </c>
      <c r="C9" s="1" t="s">
        <v>23</v>
      </c>
      <c r="D9" s="1">
        <v>200</v>
      </c>
      <c r="E9" s="1">
        <v>87</v>
      </c>
      <c r="F9" s="1">
        <v>86</v>
      </c>
    </row>
    <row r="10" spans="1:14" x14ac:dyDescent="0.35">
      <c r="A10" s="1" t="s">
        <v>26</v>
      </c>
      <c r="B10" s="1">
        <v>2</v>
      </c>
      <c r="C10" s="1" t="s">
        <v>21</v>
      </c>
      <c r="D10" s="1">
        <v>200</v>
      </c>
      <c r="E10" s="1">
        <v>94</v>
      </c>
      <c r="F10" s="1">
        <v>94</v>
      </c>
      <c r="G10" s="1">
        <f>SUM(F10:F11)</f>
        <v>200</v>
      </c>
    </row>
    <row r="11" spans="1:14" x14ac:dyDescent="0.35">
      <c r="A11" s="1" t="s">
        <v>26</v>
      </c>
      <c r="B11" s="1">
        <v>2</v>
      </c>
      <c r="C11" s="1" t="s">
        <v>23</v>
      </c>
      <c r="D11" s="1">
        <v>200</v>
      </c>
      <c r="E11" s="1">
        <v>106</v>
      </c>
      <c r="F11" s="1">
        <v>106</v>
      </c>
    </row>
    <row r="12" spans="1:14" x14ac:dyDescent="0.35">
      <c r="A12" s="1" t="s">
        <v>26</v>
      </c>
      <c r="B12" s="1">
        <v>1</v>
      </c>
      <c r="C12" s="1" t="s">
        <v>21</v>
      </c>
      <c r="D12" s="1">
        <v>200</v>
      </c>
      <c r="E12" s="1">
        <v>88</v>
      </c>
      <c r="F12" s="1">
        <v>87</v>
      </c>
      <c r="G12" s="1">
        <f>SUM(F12:F13)</f>
        <v>182</v>
      </c>
    </row>
    <row r="13" spans="1:14" x14ac:dyDescent="0.35">
      <c r="A13" s="1" t="s">
        <v>26</v>
      </c>
      <c r="B13" s="1">
        <v>1</v>
      </c>
      <c r="C13" s="1" t="s">
        <v>23</v>
      </c>
      <c r="D13" s="1">
        <v>200</v>
      </c>
      <c r="E13" s="1">
        <v>96</v>
      </c>
      <c r="F13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1759</vt:lpstr>
      <vt:lpstr>QA383P</vt:lpstr>
    </vt:vector>
  </TitlesOfParts>
  <Company>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Philip Leftwich (BIO - Staff)</cp:lastModifiedBy>
  <dcterms:created xsi:type="dcterms:W3CDTF">2025-11-25T13:13:41Z</dcterms:created>
  <dcterms:modified xsi:type="dcterms:W3CDTF">2026-06-06T08:56:51Z</dcterms:modified>
</cp:coreProperties>
</file>